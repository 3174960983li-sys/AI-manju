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9fce7e3f34ee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与总览" sheetId="1" r:id="R1fa09733fb8344c3"/>
    <sheet name="角色基础" sheetId="2" r:id="Ra623739327f2481e"/>
    <sheet name="角色服装与状态" sheetId="3" r:id="Rf3457e124d054fba"/>
    <sheet name="场景基础" sheetId="4" r:id="R3fce8f3b060744bf"/>
    <sheet name="场景状态" sheetId="5" r:id="R97e45f014c194a7d"/>
    <sheet name="道具需求" sheetId="6" r:id="Rc56cbfe7c27b44fc"/>
    <sheet name="出现与变化明细" sheetId="7" r:id="R3dd9c153fef045f8"/>
  </sheets>
  <definedNames>
    <definedName name="asset_CHR_0001">INDEX(AssetsCHR[角色编号],MATCH("CHR-0001",AssetsCHR[角色编号],0))</definedName>
    <definedName name="asset_CHR_0002">INDEX(AssetsCHR[角色编号],MATCH("CHR-0002",AssetsCHR[角色编号],0))</definedName>
    <definedName name="asset_CHR_0003">INDEX(AssetsCHR[角色编号],MATCH("CHR-0003",AssetsCHR[角色编号],0))</definedName>
    <definedName name="asset_CHR_0004">INDEX(AssetsCHR[角色编号],MATCH("CHR-0004",AssetsCHR[角色编号],0))</definedName>
    <definedName name="asset_CHR_0005">INDEX(AssetsCHR[角色编号],MATCH("CHR-0005",AssetsCHR[角色编号],0))</definedName>
    <definedName name="asset_CHR_0006">INDEX(AssetsCHR[角色编号],MATCH("CHR-0006",AssetsCHR[角色编号],0))</definedName>
    <definedName name="asset_CHR_0007">INDEX(AssetsCHR[角色编号],MATCH("CHR-0007",AssetsCHR[角色编号],0))</definedName>
    <definedName name="asset_CHR_0008">INDEX(AssetsCHR[角色编号],MATCH("CHR-0008",AssetsCHR[角色编号],0))</definedName>
    <definedName name="asset_CHR_0011">INDEX(AssetsCHR[角色编号],MATCH("CHR-0011",AssetsCHR[角色编号],0))</definedName>
    <definedName name="asset_CHR_0012">INDEX(AssetsCHR[角色编号],MATCH("CHR-0012",AssetsCHR[角色编号],0))</definedName>
    <definedName name="asset_CHR_0013">INDEX(AssetsCHR[角色编号],MATCH("CHR-0013",AssetsCHR[角色编号],0))</definedName>
    <definedName name="asset_CHR_0014">INDEX(AssetsCHR[角色编号],MATCH("CHR-0014",AssetsCHR[角色编号],0))</definedName>
    <definedName name="asset_CHR_0015">INDEX(AssetsCHR[角色编号],MATCH("CHR-0015",AssetsCHR[角色编号],0))</definedName>
    <definedName name="asset_CHR_0016">INDEX(AssetsCHR[角色编号],MATCH("CHR-0016",AssetsCHR[角色编号],0))</definedName>
    <definedName name="asset_CHR_0017">INDEX(AssetsCHR[角色编号],MATCH("CHR-0017",AssetsCHR[角色编号],0))</definedName>
    <definedName name="asset_CHR_0018">INDEX(AssetsCHR[角色编号],MATCH("CHR-0018",AssetsCHR[角色编号],0))</definedName>
    <definedName name="asset_CHR_0019">INDEX(AssetsCHR[角色编号],MATCH("CHR-0019",AssetsCHR[角色编号],0))</definedName>
    <definedName name="asset_CHR_0020">INDEX(AssetsCHR[角色编号],MATCH("CHR-0020",AssetsCHR[角色编号],0))</definedName>
    <definedName name="asset_CHV_0001">INDEX(AssetsCHV[变体编号],MATCH("CHV-0001",AssetsCHV[变体编号],0))</definedName>
    <definedName name="asset_CHV_0003">INDEX(AssetsCHV[变体编号],MATCH("CHV-0003",AssetsCHV[变体编号],0))</definedName>
    <definedName name="asset_CHV_0002">INDEX(AssetsCHV[变体编号],MATCH("CHV-0002",AssetsCHV[变体编号],0))</definedName>
    <definedName name="asset_LOC_0001">INDEX(AssetsLOC[场景编号],MATCH("LOC-0001",AssetsLOC[场景编号],0))</definedName>
    <definedName name="asset_LOC_0002">INDEX(AssetsLOC[场景编号],MATCH("LOC-0002",AssetsLOC[场景编号],0))</definedName>
    <definedName name="asset_LOC_0003">INDEX(AssetsLOC[场景编号],MATCH("LOC-0003",AssetsLOC[场景编号],0))</definedName>
    <definedName name="asset_LOC_0004">INDEX(AssetsLOC[场景编号],MATCH("LOC-0004",AssetsLOC[场景编号],0))</definedName>
    <definedName name="asset_LOC_0005">INDEX(AssetsLOC[场景编号],MATCH("LOC-0005",AssetsLOC[场景编号],0))</definedName>
    <definedName name="asset_LOC_0006">INDEX(AssetsLOC[场景编号],MATCH("LOC-0006",AssetsLOC[场景编号],0))</definedName>
    <definedName name="asset_LOC_0007">INDEX(AssetsLOC[场景编号],MATCH("LOC-0007",AssetsLOC[场景编号],0))</definedName>
    <definedName name="asset_LOC_0008">INDEX(AssetsLOC[场景编号],MATCH("LOC-0008",AssetsLOC[场景编号],0))</definedName>
    <definedName name="asset_LOC_0009">INDEX(AssetsLOC[场景编号],MATCH("LOC-0009",AssetsLOC[场景编号],0))</definedName>
    <definedName name="asset_LOC_0010">INDEX(AssetsLOC[场景编号],MATCH("LOC-0010",AssetsLOC[场景编号],0))</definedName>
    <definedName name="asset_LOC_0011">INDEX(AssetsLOC[场景编号],MATCH("LOC-0011",AssetsLOC[场景编号],0))</definedName>
    <definedName name="asset_LOC_0012">INDEX(AssetsLOC[场景编号],MATCH("LOC-0012",AssetsLOC[场景编号],0))</definedName>
    <definedName name="asset_LOC_0013">INDEX(AssetsLOC[场景编号],MATCH("LOC-0013",AssetsLOC[场景编号],0))</definedName>
    <definedName name="asset_LOC_0014">INDEX(AssetsLOC[场景编号],MATCH("LOC-0014",AssetsLOC[场景编号],0))</definedName>
    <definedName name="asset_LOC_0015">INDEX(AssetsLOC[场景编号],MATCH("LOC-0015",AssetsLOC[场景编号],0))</definedName>
    <definedName name="asset_LOC_0016">INDEX(AssetsLOC[场景编号],MATCH("LOC-0016",AssetsLOC[场景编号],0))</definedName>
    <definedName name="asset_LOC_0017">INDEX(AssetsLOC[场景编号],MATCH("LOC-0017",AssetsLOC[场景编号],0))</definedName>
    <definedName name="asset_LOC_0018">INDEX(AssetsLOC[场景编号],MATCH("LOC-0018",AssetsLOC[场景编号],0))</definedName>
    <definedName name="asset_LOC_0019">INDEX(AssetsLOC[场景编号],MATCH("LOC-0019",AssetsLOC[场景编号],0))</definedName>
    <definedName name="asset_LOC_0020">INDEX(AssetsLOC[场景编号],MATCH("LOC-0020",AssetsLOC[场景编号],0))</definedName>
    <definedName name="asset_LOC_0021">INDEX(AssetsLOC[场景编号],MATCH("LOC-0021",AssetsLOC[场景编号],0))</definedName>
    <definedName name="asset_LOC_0022">INDEX(AssetsLOC[场景编号],MATCH("LOC-0022",AssetsLOC[场景编号],0))</definedName>
    <definedName name="asset_LOC_0023">INDEX(AssetsLOC[场景编号],MATCH("LOC-0023",AssetsLOC[场景编号],0))</definedName>
    <definedName name="asset_LOC_0024">INDEX(AssetsLOC[场景编号],MATCH("LOC-0024",AssetsLOC[场景编号],0))</definedName>
    <definedName name="asset_LOC_0025">INDEX(AssetsLOC[场景编号],MATCH("LOC-0025",AssetsLOC[场景编号],0))</definedName>
    <definedName name="asset_LOC_0026">INDEX(AssetsLOC[场景编号],MATCH("LOC-0026",AssetsLOC[场景编号],0))</definedName>
    <definedName name="asset_LOC_0027">INDEX(AssetsLOC[场景编号],MATCH("LOC-0027",AssetsLOC[场景编号],0))</definedName>
    <definedName name="asset_LOC_0028">INDEX(AssetsLOC[场景编号],MATCH("LOC-0028",AssetsLOC[场景编号],0))</definedName>
    <definedName name="asset_LOC_0029">INDEX(AssetsLOC[场景编号],MATCH("LOC-0029",AssetsLOC[场景编号],0))</definedName>
    <definedName name="asset_LOC_0030">INDEX(AssetsLOC[场景编号],MATCH("LOC-0030",AssetsLOC[场景编号],0))</definedName>
    <definedName name="asset_LOC_0031">INDEX(AssetsLOC[场景编号],MATCH("LOC-0031",AssetsLOC[场景编号],0))</definedName>
    <definedName name="asset_LOC_0032">INDEX(AssetsLOC[场景编号],MATCH("LOC-0032",AssetsLOC[场景编号],0))</definedName>
    <definedName name="asset_LOC_0033">INDEX(AssetsLOC[场景编号],MATCH("LOC-0033",AssetsLOC[场景编号],0))</definedName>
    <definedName name="asset_LOC_0034">INDEX(AssetsLOC[场景编号],MATCH("LOC-0034",AssetsLOC[场景编号],0))</definedName>
    <definedName name="asset_LOC_0035">INDEX(AssetsLOC[场景编号],MATCH("LOC-0035",AssetsLOC[场景编号],0))</definedName>
    <definedName name="asset_LOC_0036">INDEX(AssetsLOC[场景编号],MATCH("LOC-0036",AssetsLOC[场景编号],0))</definedName>
    <definedName name="asset_LOC_0037">INDEX(AssetsLOC[场景编号],MATCH("LOC-0037",AssetsLOC[场景编号],0))</definedName>
    <definedName name="asset_LCV_0008">INDEX(AssetsLCV[状态编号],MATCH("LCV-0008",AssetsLCV[状态编号],0))</definedName>
    <definedName name="asset_LCV_0036">INDEX(AssetsLCV[状态编号],MATCH("LCV-0036",AssetsLCV[状态编号],0))</definedName>
    <definedName name="asset_LCV_0030">INDEX(AssetsLCV[状态编号],MATCH("LCV-0030",AssetsLCV[状态编号],0))</definedName>
    <definedName name="asset_LCV_0017">INDEX(AssetsLCV[状态编号],MATCH("LCV-0017",AssetsLCV[状态编号],0))</definedName>
    <definedName name="asset_LCV_0020">INDEX(AssetsLCV[状态编号],MATCH("LCV-0020",AssetsLCV[状态编号],0))</definedName>
    <definedName name="asset_CHV_0004">INDEX(AssetsCHV[变体编号],MATCH("CHV-0004",AssetsCHV[变体编号],0))</definedName>
    <definedName name="asset_CHV_0005">INDEX(AssetsCHV[变体编号],MATCH("CHV-0005",AssetsCHV[变体编号],0))</definedName>
    <definedName name="asset_CHV_0006">INDEX(AssetsCHV[变体编号],MATCH("CHV-0006",AssetsCHV[变体编号],0))</definedName>
    <definedName name="asset_CHV_0007">INDEX(AssetsCHV[变体编号],MATCH("CHV-0007",AssetsCHV[变体编号],0))</definedName>
    <definedName name="asset_CHV_0008">INDEX(AssetsCHV[变体编号],MATCH("CHV-0008",AssetsCHV[变体编号],0))</definedName>
    <definedName name="asset_CHR_0009">INDEX(AssetsCHR[角色编号],MATCH("CHR-0009",AssetsCHR[角色编号],0))</definedName>
    <definedName name="asset_CHR_0010">INDEX(AssetsCHR[角色编号],MATCH("CHR-0010",AssetsCHR[角色编号],0))</definedName>
    <definedName name="asset_CHV_0009">INDEX(AssetsCHV[变体编号],MATCH("CHV-0009",AssetsCHV[变体编号],0))</definedName>
    <definedName name="asset_CHV_0010">INDEX(AssetsCHV[变体编号],MATCH("CHV-0010",AssetsCHV[变体编号],0))</definedName>
    <definedName name="asset_CHV_0011">INDEX(AssetsCHV[变体编号],MATCH("CHV-0011",AssetsCHV[变体编号],0))</definedName>
    <definedName name="asset_CHV_0012">INDEX(AssetsCHV[变体编号],MATCH("CHV-0012",AssetsCHV[变体编号],0))</definedName>
    <definedName name="asset_CHV_0013">INDEX(AssetsCHV[变体编号],MATCH("CHV-0013",AssetsCHV[变体编号],0))</definedName>
    <definedName name="asset_CHV_0014">INDEX(AssetsCHV[变体编号],MATCH("CHV-0014",AssetsCHV[变体编号],0))</definedName>
    <definedName name="asset_CHV_0015">INDEX(AssetsCHV[变体编号],MATCH("CHV-0015",AssetsCHV[变体编号],0))</definedName>
    <definedName name="asset_CHV_0016">INDEX(AssetsCHV[变体编号],MATCH("CHV-0016",AssetsCHV[变体编号],0))</definedName>
    <definedName name="asset_CHV_0017">INDEX(AssetsCHV[变体编号],MATCH("CHV-0017",AssetsCHV[变体编号],0))</definedName>
    <definedName name="asset_CHV_0018">INDEX(AssetsCHV[变体编号],MATCH("CHV-0018",AssetsCHV[变体编号],0))</definedName>
    <definedName name="asset_CHV_0019">INDEX(AssetsCHV[变体编号],MATCH("CHV-0019",AssetsCHV[变体编号],0))</definedName>
    <definedName name="asset_CHV_0020">INDEX(AssetsCHV[变体编号],MATCH("CHV-0020",AssetsCHV[变体编号],0))</definedName>
    <definedName name="asset_CHV_0021">INDEX(AssetsCHV[变体编号],MATCH("CHV-0021",AssetsCHV[变体编号],0))</definedName>
    <definedName name="asset_CHV_0022">INDEX(AssetsCHV[变体编号],MATCH("CHV-0022",AssetsCHV[变体编号],0))</definedName>
    <definedName name="asset_LCV_0001">INDEX(AssetsLCV[状态编号],MATCH("LCV-0001",AssetsLCV[状态编号],0))</definedName>
    <definedName name="asset_LCV_0002">INDEX(AssetsLCV[状态编号],MATCH("LCV-0002",AssetsLCV[状态编号],0))</definedName>
    <definedName name="asset_LCV_0003">INDEX(AssetsLCV[状态编号],MATCH("LCV-0003",AssetsLCV[状态编号],0))</definedName>
    <definedName name="asset_LCV_0004">INDEX(AssetsLCV[状态编号],MATCH("LCV-0004",AssetsLCV[状态编号],0))</definedName>
    <definedName name="asset_LCV_0005">INDEX(AssetsLCV[状态编号],MATCH("LCV-0005",AssetsLCV[状态编号],0))</definedName>
    <definedName name="asset_LCV_0006">INDEX(AssetsLCV[状态编号],MATCH("LCV-0006",AssetsLCV[状态编号],0))</definedName>
    <definedName name="asset_LCV_0007">INDEX(AssetsLCV[状态编号],MATCH("LCV-0007",AssetsLCV[状态编号],0))</definedName>
    <definedName name="asset_LCV_0009">INDEX(AssetsLCV[状态编号],MATCH("LCV-0009",AssetsLCV[状态编号],0))</definedName>
    <definedName name="asset_LCV_0010">INDEX(AssetsLCV[状态编号],MATCH("LCV-0010",AssetsLCV[状态编号],0))</definedName>
    <definedName name="asset_LCV_0011">INDEX(AssetsLCV[状态编号],MATCH("LCV-0011",AssetsLCV[状态编号],0))</definedName>
    <definedName name="asset_LCV_0012">INDEX(AssetsLCV[状态编号],MATCH("LCV-0012",AssetsLCV[状态编号],0))</definedName>
    <definedName name="asset_LCV_0013">INDEX(AssetsLCV[状态编号],MATCH("LCV-0013",AssetsLCV[状态编号],0))</definedName>
    <definedName name="asset_LCV_0014">INDEX(AssetsLCV[状态编号],MATCH("LCV-0014",AssetsLCV[状态编号],0))</definedName>
    <definedName name="asset_LCV_0015">INDEX(AssetsLCV[状态编号],MATCH("LCV-0015",AssetsLCV[状态编号],0))</definedName>
    <definedName name="asset_LCV_0016">INDEX(AssetsLCV[状态编号],MATCH("LCV-0016",AssetsLCV[状态编号],0))</definedName>
    <definedName name="asset_LCV_0018">INDEX(AssetsLCV[状态编号],MATCH("LCV-0018",AssetsLCV[状态编号],0))</definedName>
    <definedName name="asset_LCV_0019">INDEX(AssetsLCV[状态编号],MATCH("LCV-0019",AssetsLCV[状态编号],0))</definedName>
    <definedName name="asset_LCV_0021">INDEX(AssetsLCV[状态编号],MATCH("LCV-0021",AssetsLCV[状态编号],0))</definedName>
    <definedName name="asset_LCV_0022">INDEX(AssetsLCV[状态编号],MATCH("LCV-0022",AssetsLCV[状态编号],0))</definedName>
    <definedName name="asset_LCV_0023">INDEX(AssetsLCV[状态编号],MATCH("LCV-0023",AssetsLCV[状态编号],0))</definedName>
    <definedName name="asset_LCV_0024">INDEX(AssetsLCV[状态编号],MATCH("LCV-0024",AssetsLCV[状态编号],0))</definedName>
    <definedName name="asset_LCV_0025">INDEX(AssetsLCV[状态编号],MATCH("LCV-0025",AssetsLCV[状态编号],0))</definedName>
    <definedName name="asset_LCV_0026">INDEX(AssetsLCV[状态编号],MATCH("LCV-0026",AssetsLCV[状态编号],0))</definedName>
    <definedName name="asset_LCV_0027">INDEX(AssetsLCV[状态编号],MATCH("LCV-0027",AssetsLCV[状态编号],0))</definedName>
    <definedName name="asset_LCV_0028">INDEX(AssetsLCV[状态编号],MATCH("LCV-0028",AssetsLCV[状态编号],0))</definedName>
    <definedName name="asset_LCV_0029">INDEX(AssetsLCV[状态编号],MATCH("LCV-0029",AssetsLCV[状态编号],0))</definedName>
    <definedName name="asset_LCV_0031">INDEX(AssetsLCV[状态编号],MATCH("LCV-0031",AssetsLCV[状态编号],0))</definedName>
    <definedName name="asset_LCV_0032">INDEX(AssetsLCV[状态编号],MATCH("LCV-0032",AssetsLCV[状态编号],0))</definedName>
    <definedName name="asset_LCV_0033">INDEX(AssetsLCV[状态编号],MATCH("LCV-0033",AssetsLCV[状态编号],0))</definedName>
    <definedName name="asset_LCV_0034">INDEX(AssetsLCV[状态编号],MATCH("LCV-0034",AssetsLCV[状态编号],0))</definedName>
    <definedName name="asset_LCV_0035">INDEX(AssetsLCV[状态编号],MATCH("LCV-0035",AssetsLCV[状态编号],0))</definedName>
    <definedName name="asset_LCV_0037">INDEX(AssetsLCV[状态编号],MATCH("LCV-0037",AssetsLCV[状态编号],0))</definedName>
    <definedName name="asset_LCV_0038">INDEX(AssetsLCV[状态编号],MATCH("LCV-0038",AssetsLCV[状态编号],0))</definedName>
    <definedName name="asset_LCV_0039">INDEX(AssetsLCV[状态编号],MATCH("LCV-0039",AssetsLCV[状态编号],0))</definedName>
    <definedName name="asset_LCV_0040">INDEX(AssetsLCV[状态编号],MATCH("LCV-0040",AssetsLCV[状态编号],0))</definedName>
    <definedName name="asset_LCV_0041">INDEX(AssetsLCV[状态编号],MATCH("LCV-0041",AssetsLCV[状态编号],0))</definedName>
    <definedName name="asset_LCV_0042">INDEX(AssetsLCV[状态编号],MATCH("LCV-0042",AssetsLCV[状态编号],0))</definedName>
    <definedName name="asset_LCV_0043">INDEX(AssetsLCV[状态编号],MATCH("LCV-0043",AssetsLCV[状态编号],0))</definedName>
    <definedName name="asset_LCV_0044">INDEX(AssetsLCV[状态编号],MATCH("LCV-0044",AssetsLCV[状态编号],0))</definedName>
    <definedName name="asset_PRP_0001">INDEX(AssetsPRP[道具编号],MATCH("PRP-0001",AssetsPRP[道具编号],0))</definedName>
    <definedName name="asset_PRP_0002">INDEX(AssetsPRP[道具编号],MATCH("PRP-0002",AssetsPRP[道具编号],0))</definedName>
    <definedName name="asset_PRP_0003">INDEX(AssetsPRP[道具编号],MATCH("PRP-0003",AssetsPRP[道具编号],0))</definedName>
    <definedName name="asset_PRP_0004">INDEX(AssetsPRP[道具编号],MATCH("PRP-0004",AssetsPRP[道具编号],0))</definedName>
    <definedName name="asset_PRP_0005">INDEX(AssetsPRP[道具编号],MATCH("PRP-0005",AssetsPRP[道具编号],0))</definedName>
    <definedName name="asset_PRP_0006">INDEX(AssetsPRP[道具编号],MATCH("PRP-0006",AssetsPRP[道具编号],0))</definedName>
    <definedName name="asset_PRP_0007">INDEX(AssetsPRP[道具编号],MATCH("PRP-0007",AssetsPRP[道具编号],0))</definedName>
    <definedName name="asset_PRP_0008">INDEX(AssetsPRP[道具编号],MATCH("PRP-0008",AssetsPRP[道具编号],0))</definedName>
    <definedName name="asset_PRP_0009">INDEX(AssetsPRP[道具编号],MATCH("PRP-0009",AssetsPRP[道具编号],0))</definedName>
    <definedName name="asset_PRP_0010">INDEX(AssetsPRP[道具编号],MATCH("PRP-0010",AssetsPRP[道具编号],0))</definedName>
    <definedName name="asset_PRP_0011">INDEX(AssetsPRP[道具编号],MATCH("PRP-0011",AssetsPRP[道具编号],0))</definedName>
    <definedName name="asset_PRP_0012">INDEX(AssetsPRP[道具编号],MATCH("PRP-0012",AssetsPRP[道具编号],0))</definedName>
    <definedName name="asset_PRP_0013">INDEX(AssetsPRP[道具编号],MATCH("PRP-0013",AssetsPRP[道具编号],0))</definedName>
    <definedName name="asset_PRP_0014">INDEX(AssetsPRP[道具编号],MATCH("PRP-0014",AssetsPRP[道具编号],0))</definedName>
    <definedName name="asset_PRP_0015">INDEX(AssetsPRP[道具编号],MATCH("PRP-0015",AssetsPRP[道具编号],0))</definedName>
    <definedName name="asset_PRP_0016">INDEX(AssetsPRP[道具编号],MATCH("PRP-0016",AssetsPRP[道具编号],0))</definedName>
    <definedName name="asset_PRP_0017">INDEX(AssetsPRP[道具编号],MATCH("PRP-0017",AssetsPRP[道具编号],0))</definedName>
    <definedName name="asset_PRP_0018">INDEX(AssetsPRP[道具编号],MATCH("PRP-0018",AssetsPRP[道具编号],0))</definedName>
    <definedName name="asset_PRP_0019">INDEX(AssetsPRP[道具编号],MATCH("PRP-0019",AssetsPRP[道具编号],0))</definedName>
    <definedName name="asset_PRP_0020">INDEX(AssetsPRP[道具编号],MATCH("PRP-0020",AssetsPRP[道具编号],0))</definedName>
    <definedName name="asset_PRP_0021">INDEX(AssetsPRP[道具编号],MATCH("PRP-0021",AssetsPRP[道具编号],0))</definedName>
    <definedName name="asset_PRP_0022">INDEX(AssetsPRP[道具编号],MATCH("PRP-0022",AssetsPRP[道具编号],0))</definedName>
    <definedName name="asset_PRP_0023">INDEX(AssetsPRP[道具编号],MATCH("PRP-0023",AssetsPRP[道具编号],0))</definedName>
    <definedName name="asset_PRP_0024">INDEX(AssetsPRP[道具编号],MATCH("PRP-0024",AssetsPRP[道具编号],0))</definedName>
    <definedName name="asset_PRP_0025">INDEX(AssetsPRP[道具编号],MATCH("PRP-0025",AssetsPRP[道具编号],0))</definedName>
    <definedName name="asset_PRP_0026">INDEX(AssetsPRP[道具编号],MATCH("PRP-0026",AssetsPRP[道具编号],0))</definedName>
    <definedName name="asset_PRP_0027">INDEX(AssetsPRP[道具编号],MATCH("PRP-0027",AssetsPRP[道具编号],0))</definedName>
    <definedName name="asset_PRP_0028">INDEX(AssetsPRP[道具编号],MATCH("PRP-0028",AssetsPRP[道具编号],0))</definedName>
    <definedName name="asset_PRP_0029">INDEX(AssetsPRP[道具编号],MATCH("PRP-0029",AssetsPRP[道具编号],0))</definedName>
    <definedName name="asset_PRP_0030">INDEX(AssetsPRP[道具编号],MATCH("PRP-0030",AssetsPRP[道具编号],0))</definedName>
    <definedName name="asset_PRP_0031">INDEX(AssetsPRP[道具编号],MATCH("PRP-0031",AssetsPRP[道具编号],0))</definedName>
    <definedName name="asset_PRP_0032">INDEX(AssetsPRP[道具编号],MATCH("PRP-0032",AssetsPRP[道具编号],0))</definedName>
    <definedName name="asset_PRP_0033">INDEX(AssetsPRP[道具编号],MATCH("PRP-0033",AssetsPRP[道具编号],0))</definedName>
    <definedName name="asset_PRP_0034">INDEX(AssetsPRP[道具编号],MATCH("PRP-0034",AssetsPRP[道具编号],0))</definedName>
    <definedName name="asset_PRP_0035">INDEX(AssetsPRP[道具编号],MATCH("PRP-0035",AssetsPRP[道具编号],0))</definedName>
    <definedName name="asset_PRP_0036">INDEX(AssetsPRP[道具编号],MATCH("PRP-0036",AssetsPRP[道具编号],0))</definedName>
    <definedName name="asset_PRP_0037">INDEX(AssetsPRP[道具编号],MATCH("PRP-0037",AssetsPRP[道具编号],0))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43247"/>
      <x:name val="Microsoft YaHei"/>
    </x:font>
    <x:font>
      <x:b/>
      <x:sz val="14"/>
      <x:color rgb="FF243247"/>
      <x:name val="Microsoft YaHei"/>
    </x:font>
    <x:font>
      <x:b/>
      <x:sz val="10"/>
      <x:color rgb="FFFFFFFF"/>
      <x:name val="Microsoft YaHei"/>
    </x:font>
    <x:font>
      <x:sz val="10"/>
      <x:color rgb="FF245DA8"/>
      <x:name val="Microsoft YaHei"/>
    </x:font>
    <x:font>
      <x:b/>
      <x:sz val="15"/>
      <x:color rgb="FF24324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04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color rgb="FF7D5200"/>
      </x:font>
      <x:fill>
        <x:patternFill patternType="solid">
          <x:bgColor rgb="FFFFF1CE"/>
        </x:patternFill>
      </x:fill>
    </x:dxf>
    <x:dxf>
      <x:fill>
        <x:patternFill patternType="solid">
          <x:bgColor rgb="FFFFF1CE"/>
        </x:patternFill>
      </x:fill>
    </x:dxf>
    <x:dxf>
      <x:font>
        <x:color rgb="FF7D5200"/>
      </x:font>
      <x:fill>
        <x:patternFill patternType="solid">
          <x:bgColor rgb="FFFFF1CE"/>
        </x:patternFill>
      </x:fill>
    </x:dxf>
    <x:dxf>
      <x:fill>
        <x:patternFill patternType="solid">
          <x:bgColor rgb="FFFFF1CE"/>
        </x:patternFill>
      </x:fill>
    </x:dxf>
    <x:dxf>
      <x:font>
        <x:color rgb="FF7D5200"/>
      </x:font>
      <x:fill>
        <x:patternFill patternType="solid">
          <x:bgColor rgb="FFFFF1CE"/>
        </x:patternFill>
      </x:fill>
    </x:dxf>
    <x:dxf>
      <x:fill>
        <x:patternFill patternType="solid">
          <x:bgColor rgb="FFFFF1CE"/>
        </x:patternFill>
      </x:fill>
    </x:dxf>
    <x:dxf>
      <x:font>
        <x:color rgb="FF7D5200"/>
      </x:font>
      <x:fill>
        <x:patternFill patternType="solid">
          <x:bgColor rgb="FFFFF1CE"/>
        </x:patternFill>
      </x:fill>
    </x:dxf>
    <x:dxf>
      <x:fill>
        <x:patternFill patternType="solid">
          <x:bgColor rgb="FFFFF1CE"/>
        </x:patternFill>
      </x:fill>
    </x:dxf>
    <x:dxf>
      <x:font>
        <x:color rgb="FF7D5200"/>
      </x:font>
      <x:fill>
        <x:patternFill patternType="solid">
          <x:bgColor rgb="FFFFF1CE"/>
        </x:patternFill>
      </x:fill>
    </x:dxf>
    <x:dxf>
      <x:fill>
        <x:patternFill patternType="solid">
          <x:bgColor rgb="FFFFF1CE"/>
        </x:patternFill>
      </x:fill>
    </x:dxf>
    <x:dxf>
      <x:font>
        <x:color rgb="FF7D5200"/>
      </x:font>
      <x:fill>
        <x:patternFill patternType="solid">
          <x:bgColor rgb="FFFFF1CE"/>
        </x:patternFill>
      </x:fill>
    </x:dxf>
    <x:dxf>
      <x:fill>
        <x:patternFill patternType="solid">
          <x:bgColor rgb="FFFFF1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d51d2e8d74a9b" /><Relationship Type="http://schemas.openxmlformats.org/officeDocument/2006/relationships/theme" Target="/xl/theme/theme1.xml" Id="Re326fd597a7e484a" /><Relationship Type="http://schemas.openxmlformats.org/officeDocument/2006/relationships/sharedStrings" Target="/xl/sharedStrings.xml" Id="R7290b0cb130f493c" /><Relationship Type="http://schemas.openxmlformats.org/officeDocument/2006/relationships/worksheet" Target="/xl/worksheets/sheet1.xml" Id="R1fa09733fb8344c3" /><Relationship Type="http://schemas.openxmlformats.org/officeDocument/2006/relationships/worksheet" Target="/xl/worksheets/sheet2.xml" Id="Ra623739327f2481e" /><Relationship Type="http://schemas.openxmlformats.org/officeDocument/2006/relationships/worksheet" Target="/xl/worksheets/sheet3.xml" Id="Rf3457e124d054fba" /><Relationship Type="http://schemas.openxmlformats.org/officeDocument/2006/relationships/worksheet" Target="/xl/worksheets/sheet4.xml" Id="R3fce8f3b060744bf" /><Relationship Type="http://schemas.openxmlformats.org/officeDocument/2006/relationships/worksheet" Target="/xl/worksheets/sheet5.xml" Id="R97e45f014c194a7d" /><Relationship Type="http://schemas.openxmlformats.org/officeDocument/2006/relationships/worksheet" Target="/xl/worksheets/sheet6.xml" Id="Rc56cbfe7c27b44fc" /><Relationship Type="http://schemas.openxmlformats.org/officeDocument/2006/relationships/worksheet" Target="/xl/worksheets/sheet7.xml" Id="R3dd9c153fef045f8" /></Relationships>
</file>

<file path=xl/tables/table1.xml><?xml version="1.0" encoding="utf-8"?>
<x:table xmlns:x="http://schemas.openxmlformats.org/spreadsheetml/2006/main" id="1" name="AssetsCHR" displayName="AssetsCHR" ref="A4:R24" headerRowCount="1" totalsRowCount="0" totalsRowShown="0">
  <x:autoFilter ref="A4:R24"/>
  <x:tableColumns count="18">
    <x:tableColumn id="1" name="角色编号"/>
    <x:tableColumn id="2" name="名称"/>
    <x:tableColumn id="3" name="别名"/>
    <x:tableColumn id="4" name="个人或群组"/>
    <x:tableColumn id="5" name="身份"/>
    <x:tableColumn id="6" name="外观依据"/>
    <x:tableColumn id="7" name="人数"/>
    <x:tableColumn id="8" name="首次出现"/>
    <x:tableColumn id="9" name="出现方式"/>
    <x:tableColumn id="10" name="原文定位"/>
    <x:tableColumn id="11" name="原文摘录"/>
    <x:tableColumn id="12" name="证据性质"/>
    <x:tableColumn id="13" name="确认状态"/>
    <x:tableColumn id="14" name="待确认项"/>
    <x:tableColumn id="15" name="用户批注"/>
    <x:tableColumn id="16" name="变更说明"/>
    <x:tableColumn id="17" name="记录状态"/>
    <x:tableColumn id="18" name="合并至编号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ssetsCHV" displayName="AssetsCHV" ref="A4:S26" headerRowCount="1" totalsRowCount="0" totalsRowShown="0">
  <x:autoFilter ref="A4:S26"/>
  <x:tableColumns count="19">
    <x:tableColumn id="1" name="变体编号"/>
    <x:tableColumn id="2" name="角色编号"/>
    <x:tableColumn id="3" name="基准变体编号"/>
    <x:tableColumn id="4" name="服装"/>
    <x:tableColumn id="5" name="妆发"/>
    <x:tableColumn id="6" name="年龄或形态"/>
    <x:tableColumn id="7" name="可见状态"/>
    <x:tableColumn id="8" name="与基准差异"/>
    <x:tableColumn id="9" name="适用场次"/>
    <x:tableColumn id="10" name="制作建议"/>
    <x:tableColumn id="11" name="原文定位"/>
    <x:tableColumn id="12" name="原文摘录"/>
    <x:tableColumn id="13" name="证据性质"/>
    <x:tableColumn id="14" name="确认状态"/>
    <x:tableColumn id="15" name="待确认项"/>
    <x:tableColumn id="16" name="用户批注"/>
    <x:tableColumn id="17" name="变更说明"/>
    <x:tableColumn id="18" name="记录状态"/>
    <x:tableColumn id="19" name="合并至编号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AssetsLOC" displayName="AssetsLOC" ref="A4:P41" headerRowCount="1" totalsRowCount="0" totalsRowShown="0">
  <x:autoFilter ref="A4:P41"/>
  <x:tableColumns count="16">
    <x:tableColumn id="1" name="场景编号"/>
    <x:tableColumn id="2" name="名称"/>
    <x:tableColumn id="3" name="上级地点"/>
    <x:tableColumn id="4" name="内外景"/>
    <x:tableColumn id="5" name="空间特征"/>
    <x:tableColumn id="6" name="家具陈设"/>
    <x:tableColumn id="7" name="关键布局"/>
    <x:tableColumn id="8" name="原文定位"/>
    <x:tableColumn id="9" name="原文摘录"/>
    <x:tableColumn id="10" name="证据性质"/>
    <x:tableColumn id="11" name="确认状态"/>
    <x:tableColumn id="12" name="待确认项"/>
    <x:tableColumn id="13" name="用户批注"/>
    <x:tableColumn id="14" name="变更说明"/>
    <x:tableColumn id="15" name="记录状态"/>
    <x:tableColumn id="16" name="合并至编号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AssetsLCV" displayName="AssetsLCV" ref="A4:R48" headerRowCount="1" totalsRowCount="0" totalsRowShown="0">
  <x:autoFilter ref="A4:R48"/>
  <x:tableColumns count="18">
    <x:tableColumn id="1" name="状态编号"/>
    <x:tableColumn id="2" name="场景编号"/>
    <x:tableColumn id="3" name="基准状态编号"/>
    <x:tableColumn id="4" name="日夜与光照"/>
    <x:tableColumn id="5" name="天气"/>
    <x:tableColumn id="6" name="物理变化"/>
    <x:tableColumn id="7" name="变化前后"/>
    <x:tableColumn id="8" name="适用场次"/>
    <x:tableColumn id="9" name="制作建议"/>
    <x:tableColumn id="10" name="原文定位"/>
    <x:tableColumn id="11" name="原文摘录"/>
    <x:tableColumn id="12" name="证据性质"/>
    <x:tableColumn id="13" name="确认状态"/>
    <x:tableColumn id="14" name="待确认项"/>
    <x:tableColumn id="15" name="用户批注"/>
    <x:tableColumn id="16" name="变更说明"/>
    <x:tableColumn id="17" name="记录状态"/>
    <x:tableColumn id="18" name="合并至编号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AssetsPRP" displayName="AssetsPRP" ref="A4:T41" headerRowCount="1" totalsRowCount="0" totalsRowShown="0">
  <x:autoFilter ref="A4:T41"/>
  <x:tableColumns count="20">
    <x:tableColumn id="1" name="道具编号"/>
    <x:tableColumn id="2" name="名称"/>
    <x:tableColumn id="3" name="基准道具编号"/>
    <x:tableColumn id="4" name="用途"/>
    <x:tableColumn id="5" name="数量"/>
    <x:tableColumn id="6" name="归属"/>
    <x:tableColumn id="7" name="外观与文字"/>
    <x:tableColumn id="8" name="状态要求"/>
    <x:tableColumn id="9" name="适用场次"/>
    <x:tableColumn id="10" name="出现方式"/>
    <x:tableColumn id="11" name="制作建议"/>
    <x:tableColumn id="12" name="原文定位"/>
    <x:tableColumn id="13" name="原文摘录"/>
    <x:tableColumn id="14" name="证据性质"/>
    <x:tableColumn id="15" name="确认状态"/>
    <x:tableColumn id="16" name="待确认项"/>
    <x:tableColumn id="17" name="用户批注"/>
    <x:tableColumn id="18" name="变更说明"/>
    <x:tableColumn id="19" name="记录状态"/>
    <x:tableColumn id="20" name="合并至编号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AssetsUSE" displayName="AssetsUSE" ref="A4:U109" headerRowCount="1" totalsRowCount="0" totalsRowShown="0">
  <x:autoFilter ref="A4:U109"/>
  <x:tableColumns count="21">
    <x:tableColumn id="1" name="明细编号"/>
    <x:tableColumn id="2" name="集场编号"/>
    <x:tableColumn id="3" name="事件序号"/>
    <x:tableColumn id="4" name="资产编号"/>
    <x:tableColumn id="5" name="关联变体"/>
    <x:tableColumn id="6" name="实例标识"/>
    <x:tableColumn id="7" name="出现方式"/>
    <x:tableColumn id="8" name="叙事层"/>
    <x:tableColumn id="9" name="持有或位置"/>
    <x:tableColumn id="10" name="初态"/>
    <x:tableColumn id="11" name="末态"/>
    <x:tableColumn id="12" name="交互与连续性"/>
    <x:tableColumn id="13" name="原文定位"/>
    <x:tableColumn id="14" name="原文摘录"/>
    <x:tableColumn id="15" name="证据性质"/>
    <x:tableColumn id="16" name="确认状态"/>
    <x:tableColumn id="17" name="待确认项"/>
    <x:tableColumn id="18" name="用户批注"/>
    <x:tableColumn id="19" name="变更说明"/>
    <x:tableColumn id="20" name="记录状态"/>
    <x:tableColumn id="21" name="合并至编号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1c5874b02641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47e2cb95d945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c7ca7b02484e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1a8929294c41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25e4c7ffe041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91393e5310484c" /></Relationships>
</file>

<file path=xl/worksheets/sheet1.xml><?xml version="1.0" encoding="utf-8"?>
<worksheet xmlns="http://schemas.openxmlformats.org/spreadsheetml/2006/main">
  <sheetPr>
    <tabColor rgb="FF304B6A"/>
  </sheetPr>
  <sheetViews>
    <sheetView showGridLines="0" workbookViewId="0"/>
  </sheetViews>
  <sheetFormatPr defaultRowHeight="15"/>
  <cols>
    <col min="1" max="1" width="22" hidden="0" customWidth="1"/>
    <col min="2" max="2" width="85" hidden="0" customWidth="1"/>
    <col min="3" max="3" width="34" hidden="0" customWidth="1"/>
    <col min="4" max="4" width="55" hidden="0" customWidth="1"/>
    <col min="5" max="5" width="24" hidden="0" customWidth="1"/>
    <col min="6" max="6" width="24" hidden="0" customWidth="1"/>
  </cols>
  <sheetData>
    <row r="1" ht="26" customHeight="1">
      <c r="A1" s="1"/>
      <c r="B1" s="1"/>
      <c r="C1" s="1"/>
      <c r="D1" s="1"/>
      <c r="E1" s="1"/>
      <c r="F1" s="1"/>
    </row>
    <row r="2" ht="26" customHeight="1">
      <c r="A2" s="10" t="str">
        <v>剧本资产需求清单</v>
      </c>
      <c r="B2" s="1"/>
      <c r="C2" s="1"/>
      <c r="D2" s="1"/>
      <c r="E2" s="1"/>
      <c r="F2" s="1"/>
    </row>
    <row r="3" ht="26" customHeight="1">
      <c r="A3" s="1"/>
      <c r="B3" s="1"/>
      <c r="C3" s="1"/>
      <c r="D3" s="1"/>
      <c r="E3" s="1"/>
      <c r="F3" s="1"/>
    </row>
    <row r="4" ht="26" customHeight="1">
      <c r="A4" s="1" t="str">
        <v>项目</v>
      </c>
      <c r="B4" s="6" t="str">
        <v>保镖驾到，大小姐爱上了我｜已有清单试跑</v>
      </c>
      <c r="C4" s="1"/>
      <c r="D4" s="1"/>
      <c r="E4" s="1"/>
      <c r="F4" s="1"/>
    </row>
    <row r="5" ht="26" customHeight="1">
      <c r="A5" s="1" t="str">
        <v>输入版本</v>
      </c>
      <c r="B5" s="6" t="str">
        <v>用户提供60集场景与道具精简整合清单.docx；不是逐场剧本</v>
      </c>
      <c r="C5" s="1"/>
      <c r="D5" s="1"/>
      <c r="E5" s="1"/>
      <c r="F5" s="1"/>
    </row>
    <row r="6" ht="26" customHeight="1">
      <c r="A6" s="1" t="str">
        <v>覆盖范围</v>
      </c>
      <c r="B6" s="6" t="str">
        <v>全文42段＋10张表；其引用的原剧60集/96分场未提供、未核验</v>
      </c>
      <c r="C6" s="1"/>
      <c r="D6" s="1"/>
      <c r="E6" s="1"/>
      <c r="F6" s="1"/>
    </row>
    <row r="7" ht="26" customHeight="1">
      <c r="A7" s="1" t="str">
        <v>更新日期</v>
      </c>
      <c r="B7" s="6" t="str">
        <v>2026-10-27</v>
      </c>
      <c r="C7" s="1"/>
      <c r="D7" s="1"/>
      <c r="E7" s="1"/>
      <c r="F7" s="1"/>
    </row>
    <row r="8" ht="62" customHeight="1">
      <c r="A8" s="1" t="str">
        <v>关键缺口</v>
      </c>
      <c r="B8" s="6" t="str">
        <v>角色/服装不完整，逐场时序、实物数量、密室身份待原剧复核。来源“原文明示”仅指本清单明示。明细序号是来源登记顺序，非剧情事件顺序。</v>
      </c>
      <c r="C8" s="1"/>
      <c r="D8" s="1"/>
      <c r="E8" s="1"/>
      <c r="F8" s="1"/>
    </row>
    <row r="9" ht="26" customHeight="1">
      <c r="A9" s="1"/>
      <c r="B9" s="1"/>
      <c r="C9" s="1"/>
      <c r="D9" s="1"/>
      <c r="E9" s="1"/>
      <c r="F9" s="1"/>
    </row>
    <row r="10" ht="26" customHeight="1">
      <c r="A10" s="4" t="str">
        <v>分类（点击进入）</v>
      </c>
      <c r="B10" s="4" t="str">
        <v>有效登记条数</v>
      </c>
      <c r="C10" s="4" t="str">
        <v>统计口径</v>
      </c>
      <c r="D10" s="1"/>
      <c r="E10" s="1"/>
      <c r="F10" s="1"/>
    </row>
    <row r="11" ht="26" customHeight="1">
      <c r="A11" s="1" t="str">
        <v>角色基础</v>
      </c>
      <c r="B11" s="1" t="n">
        <f>COUNTIF(AssetsCHR[记录状态],"有效")</f>
        <v>20</v>
      </c>
      <c r="C11" s="1" t="str">
        <v>含群众群组与仅提及角色</v>
      </c>
      <c r="D11" s="1"/>
      <c r="E11" s="1"/>
      <c r="F11" s="1"/>
    </row>
    <row r="12" ht="26" customHeight="1">
      <c r="A12" s="1" t="str">
        <v>角色服装与状态</v>
      </c>
      <c r="B12" s="1" t="n">
        <f>COUNTIF(AssetsCHV[记录状态],"有效")</f>
        <v>22</v>
      </c>
      <c r="C12" s="1" t="str">
        <v>含基准外观组合</v>
      </c>
      <c r="D12" s="1"/>
      <c r="E12" s="1"/>
      <c r="F12" s="1"/>
    </row>
    <row r="13" ht="26" customHeight="1">
      <c r="A13" s="1" t="str">
        <v>场景基础</v>
      </c>
      <c r="B13" s="1" t="n">
        <f>COUNTIF(AssetsLOC[记录状态],"有效")</f>
        <v>37</v>
      </c>
      <c r="C13" s="1" t="str">
        <v>按有效记录计数</v>
      </c>
      <c r="D13" s="1"/>
      <c r="E13" s="1"/>
      <c r="F13" s="1"/>
    </row>
    <row r="14" ht="26" customHeight="1">
      <c r="A14" s="1" t="str">
        <v>场景状态</v>
      </c>
      <c r="B14" s="1" t="n">
        <f>COUNTIF(AssetsLCV[记录状态],"有效")</f>
        <v>44</v>
      </c>
      <c r="C14" s="1" t="str">
        <v>按有效记录计数</v>
      </c>
      <c r="D14" s="1"/>
      <c r="E14" s="1"/>
      <c r="F14" s="1"/>
    </row>
    <row r="15" ht="26" customHeight="1">
      <c r="A15" s="1" t="str">
        <v>道具需求</v>
      </c>
      <c r="B15" s="1" t="n">
        <f>COUNTIF(AssetsPRP[记录状态],"有效")</f>
        <v>37</v>
      </c>
      <c r="C15" s="1" t="str">
        <v>设计条数，非实物件数</v>
      </c>
      <c r="D15" s="1"/>
      <c r="E15" s="1"/>
      <c r="F15" s="1"/>
    </row>
    <row r="16" ht="26" customHeight="1">
      <c r="A16" s="1" t="str">
        <v>出现与变化明细</v>
      </c>
      <c r="B16" s="1" t="n">
        <f>COUNTIF(AssetsUSE[记录状态],"有效")</f>
        <v>105</v>
      </c>
      <c r="C16" s="1" t="str">
        <v>按有效记录计数</v>
      </c>
      <c r="D16" s="1"/>
      <c r="E16" s="1"/>
      <c r="F16" s="1"/>
    </row>
    <row r="17" ht="26" customHeight="1">
      <c r="A17" s="1"/>
      <c r="B17" s="1"/>
      <c r="C17" s="1"/>
      <c r="D17" s="1"/>
      <c r="E17" s="1"/>
      <c r="F17" s="1"/>
    </row>
    <row r="18" ht="26" customHeight="1">
      <c r="A18" s="1"/>
      <c r="B18" s="1"/>
      <c r="C18" s="1"/>
      <c r="D18" s="1"/>
      <c r="E18" s="1"/>
      <c r="F18" s="1"/>
    </row>
    <row r="19" ht="38" customHeight="1">
      <c r="A19" s="1" t="str">
        <v>如何阅读</v>
      </c>
      <c r="B19" s="6" t="str">
        <v>先看角色/场景基础，再看服装与状态；最后用出现明细回查场次。</v>
      </c>
      <c r="C19" s="1"/>
      <c r="D19" s="1"/>
      <c r="E19" s="1"/>
      <c r="F19" s="1"/>
    </row>
    <row r="20" ht="38" customHeight="1">
      <c r="A20" s="1" t="str">
        <v>来源标识</v>
      </c>
      <c r="B20" s="6" t="str">
        <v>事实、推断、候选分开；原文明示不等于用户已审阅。</v>
      </c>
      <c r="C20" s="1"/>
      <c r="D20" s="1"/>
      <c r="E20" s="1"/>
      <c r="F20" s="1"/>
    </row>
    <row r="21" ht="38" customHeight="1">
      <c r="A21" s="1" t="str">
        <v>数量与身份</v>
      </c>
      <c r="B21" s="6" t="str">
        <v>群组一行不等于一个人；同款物件的实物数量及归属另记。</v>
      </c>
      <c r="C21" s="1"/>
      <c r="D21" s="1"/>
      <c r="E21" s="1"/>
      <c r="F21" s="1"/>
    </row>
    <row r="22" ht="38" customHeight="1">
      <c r="A22" s="1" t="str">
        <v>家具陈设</v>
      </c>
      <c r="B22" s="6" t="str">
        <v>包含在场景，不重复列为道具；互动和破坏记录在场景状态。</v>
      </c>
      <c r="C22" s="1"/>
      <c r="D22" s="1"/>
      <c r="E22" s="1"/>
      <c r="F22" s="1"/>
    </row>
    <row r="23" ht="38" customHeight="1">
      <c r="A23" s="1" t="str">
        <v>当前状态</v>
      </c>
      <c r="B23" s="6" t="str">
        <v>实际清单试跑待审；非原剧全文提取，实际入画与角色完整性未验证。</v>
      </c>
      <c r="C23" s="1"/>
      <c r="D23" s="1"/>
      <c r="E23" s="1"/>
      <c r="F23" s="1"/>
    </row>
    <row r="24" ht="38" customHeight="1">
      <c r="A24" s="1" t="str">
        <v>新增记录</v>
      </c>
      <c r="B24" s="6" t="str">
        <v>在各分类Excel表末尾插入表行，统计自动扩展；保持编号唯一。</v>
      </c>
      <c r="C24" s="1"/>
      <c r="D24" s="1"/>
      <c r="E24" s="1"/>
      <c r="F24" s="1"/>
    </row>
    <row r="25" ht="38" customHeight="1">
      <c r="A25" s="1" t="str">
        <v>更新原则</v>
      </c>
      <c r="B25" s="6" t="str">
        <v>保留已有编号、确认内容与用户批注，另存新版本；不用旧JSON覆盖新Excel。</v>
      </c>
      <c r="C25" s="1"/>
      <c r="D25" s="1"/>
      <c r="E25" s="1"/>
      <c r="F25" s="1"/>
    </row>
    <row r="26" ht="45" customHeight="1">
      <c r="A26" s="1" t="str">
        <v>明细读取提醒</v>
      </c>
      <c r="B26" s="6" t="str">
        <v>明细列“集场编号”是源清单集数范围，不是96分场；事件序号只用于登记排序。</v>
      </c>
      <c r="C26" s="1"/>
      <c r="D26" s="1"/>
      <c r="E26" s="1"/>
      <c r="F26" s="1"/>
    </row>
    <row r="27" ht="26" customHeight="1">
      <c r="A27" s="1" t="str">
        <v>交通与特效专项需求（不计入普通道具）</v>
      </c>
      <c r="B27" s="1"/>
      <c r="C27" s="1"/>
      <c r="D27" s="1"/>
      <c r="E27" s="1"/>
      <c r="F27" s="1"/>
    </row>
    <row r="28" ht="26" customHeight="1">
      <c r="A28" s="1"/>
      <c r="B28" s="1"/>
      <c r="C28" s="1"/>
      <c r="D28" s="1"/>
      <c r="E28" s="1"/>
      <c r="F28" s="1"/>
    </row>
    <row r="29" ht="32" customHeight="1">
      <c r="A29" s="5" t="str">
        <v>类别</v>
      </c>
      <c r="B29" s="5" t="str">
        <v>名称</v>
      </c>
      <c r="C29" s="5" t="str">
        <v>范围</v>
      </c>
      <c r="D29" s="5" t="str">
        <v>要求</v>
      </c>
      <c r="E29" s="5" t="str">
        <v>来源</v>
      </c>
      <c r="F29" s="5" t="str">
        <v>核验状态</v>
      </c>
    </row>
    <row r="30" ht="58" customHeight="1">
      <c r="A30" s="6" t="str">
        <v>交通资产</v>
      </c>
      <c r="B30" s="6" t="str">
        <v>直升机</v>
      </c>
      <c r="C30" s="6" t="str">
        <v>第1集</v>
      </c>
      <c r="D30" s="6" t="str">
        <v>统一机身、座舱、舱门方向；实际型号/数量未明确</v>
      </c>
      <c r="E30" s="6" t="str">
        <v>T4R002/T9R004/T10R002</v>
      </c>
      <c r="F30" s="6" t="str">
        <v>需求待原剧复核</v>
      </c>
    </row>
    <row r="31" ht="58" customHeight="1">
      <c r="A31" s="6" t="str">
        <v>交通资产</v>
      </c>
      <c r="B31" s="6" t="str">
        <v>保姆车</v>
      </c>
      <c r="C31" s="6" t="str">
        <v>第3集</v>
      </c>
      <c r="D31" s="6" t="str">
        <v>车内外、座椅、车门匹配；不与豪车合并</v>
      </c>
      <c r="E31" s="6" t="str">
        <v>T4R002/T9R004</v>
      </c>
      <c r="F31" s="6" t="str">
        <v>需求待原剧复核</v>
      </c>
    </row>
    <row r="32" ht="58" customHeight="1">
      <c r="A32" s="6" t="str">
        <v>交通资产</v>
      </c>
      <c r="B32" s="6" t="str">
        <v>豪车</v>
      </c>
      <c r="C32" s="6" t="str">
        <v>第9集起</v>
      </c>
      <c r="D32" s="6" t="str">
        <v>具体车种、车辆数量、归属待原剧；不能只建一个通用实例</v>
      </c>
      <c r="E32" s="6" t="str">
        <v>T4R002/T9R004</v>
      </c>
      <c r="F32" s="6" t="str">
        <v>需求待原剧复核</v>
      </c>
    </row>
    <row r="33" ht="58" customHeight="1">
      <c r="A33" s="6" t="str">
        <v>特效需求</v>
      </c>
      <c r="B33" s="6" t="str">
        <v>高速闪现</v>
      </c>
      <c r="C33" s="6" t="str">
        <v>起止集场未明确，待原剧</v>
      </c>
      <c r="D33" s="6" t="str">
        <v>绑定具体人物/物件、起末态与剧情阶段；不是新增实体道具</v>
      </c>
      <c r="E33" s="6" t="str">
        <v>T9R002/T8R002/T8R004/T8R010/T10R002</v>
      </c>
      <c r="F33" s="6" t="str">
        <v>需求待原剧复核</v>
      </c>
    </row>
    <row r="34" ht="58" customHeight="1">
      <c r="A34" s="6" t="str">
        <v>特效需求</v>
      </c>
      <c r="B34" s="6" t="str">
        <v>拳脚冲击</v>
      </c>
      <c r="C34" s="6" t="str">
        <v>起止集场未明确，待原剧</v>
      </c>
      <c r="D34" s="6" t="str">
        <v>绑定具体人物/物件、起末态与剧情阶段；不是新增实体道具</v>
      </c>
      <c r="E34" s="6" t="str">
        <v>T9R002/T8R002/T8R004/T8R010/T10R002</v>
      </c>
      <c r="F34" s="6" t="str">
        <v>需求待原剧复核</v>
      </c>
    </row>
    <row r="35" ht="58" customHeight="1">
      <c r="A35" s="6" t="str">
        <v>特效需求</v>
      </c>
      <c r="B35" s="6" t="str">
        <v>伤口自愈</v>
      </c>
      <c r="C35" s="6" t="str">
        <v>起止集场未明确，待原剧</v>
      </c>
      <c r="D35" s="6" t="str">
        <v>绑定具体人物/物件、起末态与剧情阶段；不是新增实体道具</v>
      </c>
      <c r="E35" s="6" t="str">
        <v>T9R002/T8R002/T8R004/T8R010/T10R002</v>
      </c>
      <c r="F35" s="6" t="str">
        <v>需求待原剧复核</v>
      </c>
    </row>
    <row r="36" ht="58" customHeight="1">
      <c r="A36" s="6" t="str">
        <v>特效需求</v>
      </c>
      <c r="B36" s="6" t="str">
        <v>绿色治疗</v>
      </c>
      <c r="C36" s="6" t="str">
        <v>起止集场未明确，待原剧</v>
      </c>
      <c r="D36" s="6" t="str">
        <v>绑定具体人物/物件、起末态与剧情阶段；不是新增实体道具</v>
      </c>
      <c r="E36" s="6" t="str">
        <v>T9R002/T8R002/T8R004/T8R010/T10R002</v>
      </c>
      <c r="F36" s="6" t="str">
        <v>需求待原剧复核</v>
      </c>
    </row>
    <row r="37" ht="58" customHeight="1">
      <c r="A37" s="11" t="str">
        <v>特效需求</v>
      </c>
      <c r="B37" s="11" t="str">
        <v>金银能量</v>
      </c>
      <c r="C37" s="11" t="str">
        <v>起止集场未明确，待原剧</v>
      </c>
      <c r="D37" s="11" t="str">
        <v>绑定具体人物/物件、起末态与剧情阶段；不是新增实体道具</v>
      </c>
      <c r="E37" s="11" t="str">
        <v>T9R002/T8R002/T8R004/T8R010/T10R002</v>
      </c>
      <c r="F37" s="11" t="str">
        <v>需求待原剧复核</v>
      </c>
    </row>
    <row r="38" ht="58" customHeight="1">
      <c r="A38" s="11" t="str">
        <v>特效需求</v>
      </c>
      <c r="B38" s="11" t="str">
        <v>黑气</v>
      </c>
      <c r="C38" s="11" t="str">
        <v>起止集场未明确，待原剧</v>
      </c>
      <c r="D38" s="11" t="str">
        <v>绑定具体人物/物件、起末态与剧情阶段；不是新增实体道具</v>
      </c>
      <c r="E38" s="11" t="str">
        <v>T9R002/T8R002/T8R004/T8R010/T10R002</v>
      </c>
      <c r="F38" s="11" t="str">
        <v>需求待原剧复核</v>
      </c>
    </row>
    <row r="39" ht="58" customHeight="1">
      <c r="A39" s="11" t="str">
        <v>特效需求</v>
      </c>
      <c r="B39" s="11" t="str">
        <v>飞刀悬浮与回射</v>
      </c>
      <c r="C39" s="11" t="str">
        <v>起止集场未明确，待原剧</v>
      </c>
      <c r="D39" s="11" t="str">
        <v>绑定具体人物/物件、起末态与剧情阶段；不是新增实体道具</v>
      </c>
      <c r="E39" s="11" t="str">
        <v>T9R002/T8R002/T8R004/T8R010/T10R002</v>
      </c>
      <c r="F39" s="11" t="str">
        <v>需求待原剧复核</v>
      </c>
    </row>
    <row r="40" ht="58" customHeight="1">
      <c r="A40" s="11" t="str">
        <v>特效需求</v>
      </c>
      <c r="B40" s="11" t="str">
        <v>残魂消散</v>
      </c>
      <c r="C40" s="11" t="str">
        <v>起止集场未明确，待原剧</v>
      </c>
      <c r="D40" s="11" t="str">
        <v>绑定具体人物/物件、起末态与剧情阶段；不是新增实体道具</v>
      </c>
      <c r="E40" s="11" t="str">
        <v>T9R002/T8R002/T8R004/T8R010/T10R002</v>
      </c>
      <c r="F40" s="11" t="str">
        <v>需求待原剧复核</v>
      </c>
    </row>
    <row r="41" ht="58" customHeight="1">
      <c r="A41" s="11" t="str">
        <v>特效需求</v>
      </c>
      <c r="B41" s="11" t="str">
        <v>西王母玉身体融合与共鸣</v>
      </c>
      <c r="C41" s="11" t="str">
        <v>起止集场未明确，待原剧</v>
      </c>
      <c r="D41" s="11" t="str">
        <v>绑定具体人物/物件、起末态与剧情阶段；不是新增实体道具</v>
      </c>
      <c r="E41" s="11" t="str">
        <v>T9R002/T8R002/T8R004/T8R010/T10R002</v>
      </c>
      <c r="F41" s="11" t="str">
        <v>需求待原剧复核</v>
      </c>
    </row>
    <row r="42" ht="58" customHeight="1">
      <c r="A42" s="11" t="str">
        <v>特效需求</v>
      </c>
      <c r="B42" s="11" t="str">
        <v>琉璃灯能量共鸣</v>
      </c>
      <c r="C42" s="11" t="str">
        <v>起止集场未明确，待原剧</v>
      </c>
      <c r="D42" s="11" t="str">
        <v>绑定具体人物/物件、起末态与剧情阶段；不是新增实体道具</v>
      </c>
      <c r="E42" s="11" t="str">
        <v>T9R002/T8R002/T8R004/T8R010/T10R002</v>
      </c>
      <c r="F42" s="11" t="str">
        <v>需求待原剧复核</v>
      </c>
    </row>
    <row r="43" ht="58" customHeight="1">
      <c r="A43" s="11" t="str">
        <v>特效需求</v>
      </c>
      <c r="B43" s="11" t="str">
        <v>爆炸</v>
      </c>
      <c r="C43" s="11" t="str">
        <v>起止集场未明确，待原剧</v>
      </c>
      <c r="D43" s="11" t="str">
        <v>绑定具体人物/物件、起末态与剧情阶段；不是新增实体道具</v>
      </c>
      <c r="E43" s="11" t="str">
        <v>T9R002/T8R002/T8R004/T8R010/T10R002</v>
      </c>
      <c r="F43" s="11" t="str">
        <v>需求待原剧复核</v>
      </c>
    </row>
  </sheetData>
  <hyperlinks>
    <hyperlink ref="A11" location="'角色基础'!A1"/>
    <hyperlink ref="A12" location="'角色服装与状态'!A1"/>
    <hyperlink ref="A13" location="'场景基础'!A1"/>
    <hyperlink ref="A14" location="'场景状态'!A1"/>
    <hyperlink ref="A15" location="'道具需求'!A1"/>
    <hyperlink ref="A16" location="'出现与变化明细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22" hidden="0" customWidth="1"/>
    <col min="4" max="4" width="22" hidden="0" customWidth="1"/>
    <col min="5" max="5" width="32" hidden="0" customWidth="1"/>
    <col min="6" max="6" width="3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32" hidden="0" customWidth="1"/>
    <col min="12" max="12" width="22" hidden="0" customWidth="1"/>
    <col min="13" max="13" width="22" hidden="0" customWidth="1"/>
    <col min="14" max="14" width="32" hidden="0" customWidth="1"/>
    <col min="15" max="15" width="32" hidden="0" customWidth="1"/>
    <col min="16" max="16" width="32" hidden="0" customWidth="1"/>
    <col min="17" max="17" width="22" hidden="0" customWidth="1"/>
    <col min="18" max="18" width="2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tr">
        <v>角色基础</v>
      </c>
      <c r="B2" s="1"/>
      <c r="C2" s="1" t="str">
        <v>返回总览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8" customHeight="1">
      <c r="A4" s="5" t="str">
        <v>角色编号</v>
      </c>
      <c r="B4" s="5" t="str">
        <v>名称</v>
      </c>
      <c r="C4" s="5" t="str">
        <v>别名</v>
      </c>
      <c r="D4" s="5" t="str">
        <v>个人或群组</v>
      </c>
      <c r="E4" s="5" t="str">
        <v>身份</v>
      </c>
      <c r="F4" s="5" t="str">
        <v>外观依据</v>
      </c>
      <c r="G4" s="5" t="str">
        <v>人数</v>
      </c>
      <c r="H4" s="5" t="str">
        <v>首次出现</v>
      </c>
      <c r="I4" s="5" t="str">
        <v>出现方式</v>
      </c>
      <c r="J4" s="5" t="str">
        <v>原文定位</v>
      </c>
      <c r="K4" s="5" t="str">
        <v>原文摘录</v>
      </c>
      <c r="L4" s="5" t="str">
        <v>证据性质</v>
      </c>
      <c r="M4" s="5" t="str">
        <v>确认状态</v>
      </c>
      <c r="N4" s="5" t="str">
        <v>待确认项</v>
      </c>
      <c r="O4" s="5" t="str">
        <v>用户批注</v>
      </c>
      <c r="P4" s="5" t="str">
        <v>变更说明</v>
      </c>
      <c r="Q4" s="5" t="str">
        <v>记录状态</v>
      </c>
      <c r="R4" s="5" t="str">
        <v>合并至编号</v>
      </c>
    </row>
    <row r="5" ht="48" customHeight="1">
      <c r="A5" s="7" t="str">
        <v>CHR-0001</v>
      </c>
      <c r="B5" s="7" t="str">
        <v>江辰</v>
      </c>
      <c r="C5" s="7" t="str">
        <v>孤狼</v>
      </c>
      <c r="D5" s="7" t="str">
        <v>个人</v>
      </c>
      <c r="E5" s="7" t="str">
        <v>文件将“江辰孤狼”关联；主人公完整身份关系需原剧复核</v>
      </c>
      <c r="F5" s="7" t="str">
        <v>半面具佩戴/摘下及通讯耳机需求；服装未明确</v>
      </c>
      <c r="G5" s="8" t="n">
        <v>1</v>
      </c>
      <c r="H5" s="7" t="str">
        <v>清单登记：第1集起；首次入画未核</v>
      </c>
      <c r="I5" s="7" t="str">
        <v>待确认</v>
      </c>
      <c r="J5" s="7" t="str">
        <v>用户精简清单 T7R010</v>
      </c>
      <c r="K5" s="7" t="str">
        <v>通讯耳机；第1集起；绑定江辰孤狼人物造型</v>
      </c>
      <c r="L5" s="7" t="str">
        <v>原文明示</v>
      </c>
      <c r="M5" s="7" t="str">
        <v>不适用</v>
      </c>
      <c r="N5" s="7" t="str">
        <v>需原剧分场复核，清单不能证明完整性</v>
      </c>
      <c r="O5" s="7" t="str"/>
      <c r="P5" s="7" t="str"/>
      <c r="Q5" s="7" t="str">
        <v>有效</v>
      </c>
      <c r="R5" s="7" t="str"/>
    </row>
    <row r="6" ht="85" customHeight="1">
      <c r="A6" s="7" t="str">
        <v>CHR-0002</v>
      </c>
      <c r="B6" s="7" t="str">
        <v>苏小菲</v>
      </c>
      <c r="C6" s="7" t="str"/>
      <c r="D6" s="7" t="str">
        <v>个人</v>
      </c>
      <c r="E6" s="7" t="str">
        <v>阴玉与其身体融合；耳环使用者</v>
      </c>
      <c r="F6" s="7" t="str">
        <v>耳环及棒棒糖关联；衣着妆发未明</v>
      </c>
      <c r="G6" s="8" t="n">
        <v>1</v>
      </c>
      <c r="H6" s="7" t="str">
        <v>清单登记：第1集仅玉关联，首次本人入画未明；首次入画未核</v>
      </c>
      <c r="I6" s="7" t="str">
        <v>待确认</v>
      </c>
      <c r="J6" s="7" t="str">
        <v>用户精简清单 T8R002</v>
      </c>
      <c r="K6" s="7" t="str">
        <v>P01 西王母玉（阴/阳）；第1集提及；必须独立；阴玉与苏小菲身体融合；阳玉关联江辰。分实物历史状态和身体能量表现，不默认是可随手取出的玉佩。</v>
      </c>
      <c r="L6" s="7" t="str">
        <v>原文明示</v>
      </c>
      <c r="M6" s="7" t="str">
        <v>不适用</v>
      </c>
      <c r="N6" s="7" t="str">
        <v>需原剧分场复核，清单不能证明完整性</v>
      </c>
      <c r="O6" s="7" t="str"/>
      <c r="P6" s="7" t="str"/>
      <c r="Q6" s="7" t="str">
        <v>有效</v>
      </c>
      <c r="R6" s="7" t="str"/>
    </row>
    <row r="7" ht="48" customHeight="1">
      <c r="A7" s="7" t="str">
        <v>CHR-0003</v>
      </c>
      <c r="B7" s="7" t="str">
        <v>张阎王</v>
      </c>
      <c r="C7" s="7" t="str"/>
      <c r="D7" s="7" t="str">
        <v>个人</v>
      </c>
      <c r="E7" s="7" t="str">
        <v>受伤妆造关联人物</v>
      </c>
      <c r="F7" s="7" t="str">
        <v>受伤/毛巾/冰袋需求，伤处未明确</v>
      </c>
      <c r="G7" s="8" t="n">
        <v>1</v>
      </c>
      <c r="H7" s="7" t="str">
        <v>清单登记：第6集；首次入画未核</v>
      </c>
      <c r="I7" s="7" t="str">
        <v>待确认</v>
      </c>
      <c r="J7" s="7" t="str">
        <v>用户精简清单 T7R004</v>
      </c>
      <c r="K7" s="7" t="str">
        <v>毛巾、冰袋；第6集；随张阎王受伤妆造生成</v>
      </c>
      <c r="L7" s="7" t="str">
        <v>原文明示</v>
      </c>
      <c r="M7" s="7" t="str">
        <v>不适用</v>
      </c>
      <c r="N7" s="7" t="str">
        <v>需原剧分场复核，清单不能证明完整性</v>
      </c>
      <c r="O7" s="7" t="str"/>
      <c r="P7" s="7" t="str"/>
      <c r="Q7" s="7" t="str">
        <v>有效</v>
      </c>
      <c r="R7" s="7" t="str"/>
    </row>
    <row r="8" ht="55" customHeight="1">
      <c r="A8" s="7" t="str">
        <v>CHR-0004</v>
      </c>
      <c r="B8" s="7" t="str">
        <v>周天</v>
      </c>
      <c r="C8" s="7" t="str"/>
      <c r="D8" s="7" t="str">
        <v>个人</v>
      </c>
      <c r="E8" s="7" t="str">
        <v>钢铁拳套关联人物</v>
      </c>
      <c r="F8" s="7" t="str">
        <v>钢铁拳套，其他外观未明</v>
      </c>
      <c r="G8" s="8" t="n">
        <v>1</v>
      </c>
      <c r="H8" s="7" t="str">
        <v>清单登记：第19集；首次入画未核</v>
      </c>
      <c r="I8" s="7" t="str">
        <v>待确认</v>
      </c>
      <c r="J8" s="7" t="str">
        <v>用户精简清单 T8R008</v>
      </c>
      <c r="K8" s="7" t="str">
        <v>P07 周天钢铁拳套；第19集；必须独立；完整、受击、裂纹、破裂；需与耳环尺寸和攻击方向匹配。</v>
      </c>
      <c r="L8" s="7" t="str">
        <v>原文明示</v>
      </c>
      <c r="M8" s="7" t="str">
        <v>不适用</v>
      </c>
      <c r="N8" s="7" t="str">
        <v>需原剧分场复核，清单不能证明完整性</v>
      </c>
      <c r="O8" s="7" t="str"/>
      <c r="P8" s="7" t="str"/>
      <c r="Q8" s="7" t="str">
        <v>有效</v>
      </c>
      <c r="R8" s="7" t="str"/>
    </row>
    <row r="9" ht="55" customHeight="1">
      <c r="A9" s="7" t="str">
        <v>CHR-0005</v>
      </c>
      <c r="B9" s="7" t="str">
        <v>血手</v>
      </c>
      <c r="C9" s="7" t="str"/>
      <c r="D9" s="7" t="str">
        <v>个人</v>
      </c>
      <c r="E9" s="7" t="str">
        <v>红手套关联人物</v>
      </c>
      <c r="F9" s="7" t="str">
        <v>标志性血红手套，左右手待核</v>
      </c>
      <c r="G9" s="8" t="n">
        <v>1</v>
      </c>
      <c r="H9" s="7" t="str">
        <v>清单登记：第9集；首次入画未核</v>
      </c>
      <c r="I9" s="7" t="str">
        <v>待确认</v>
      </c>
      <c r="J9" s="7" t="str">
        <v>用户精简清单 T8R009</v>
      </c>
      <c r="K9" s="7" t="str">
        <v>P08 血手红手套；第9集；必须独立；标志性血红色手套，固定左右手与接触动作。</v>
      </c>
      <c r="L9" s="7" t="str">
        <v>原文明示</v>
      </c>
      <c r="M9" s="7" t="str">
        <v>不适用</v>
      </c>
      <c r="N9" s="7" t="str">
        <v>需原剧分场复核，清单不能证明完整性</v>
      </c>
      <c r="O9" s="7" t="str"/>
      <c r="P9" s="7" t="str"/>
      <c r="Q9" s="7" t="str">
        <v>有效</v>
      </c>
      <c r="R9" s="7" t="str"/>
    </row>
    <row r="10" ht="55" customHeight="1">
      <c r="A10" s="7" t="str">
        <v>CHR-0006</v>
      </c>
      <c r="B10" s="7" t="str">
        <v>银女</v>
      </c>
      <c r="C10" s="7" t="str"/>
      <c r="D10" s="7" t="str">
        <v>个人</v>
      </c>
      <c r="E10" s="7" t="str">
        <v>飞刀及密室修炼相关人物</v>
      </c>
      <c r="F10" s="7" t="str">
        <v>飞刀与能量关联；“银女”不推导银发/银衣</v>
      </c>
      <c r="G10" s="8" t="n">
        <v>1</v>
      </c>
      <c r="H10" s="7" t="str">
        <v>清单登记：首次入画未明确；飞刀第58集；首次入画未核</v>
      </c>
      <c r="I10" s="7" t="str">
        <v>待确认</v>
      </c>
      <c r="J10" s="7" t="str">
        <v>用户精简清单 T8R010</v>
      </c>
      <c r="K10" s="7" t="str">
        <v>P09 银女飞刀；第58集；必须独立；三把/九把，黑气附着、金光转化与回射。</v>
      </c>
      <c r="L10" s="7" t="str">
        <v>原文明示</v>
      </c>
      <c r="M10" s="7" t="str">
        <v>不适用</v>
      </c>
      <c r="N10" s="7" t="str">
        <v>需原剧分场复核，清单不能证明完整性</v>
      </c>
      <c r="O10" s="7" t="str"/>
      <c r="P10" s="7" t="str"/>
      <c r="Q10" s="7" t="str">
        <v>有效</v>
      </c>
      <c r="R10" s="7" t="str"/>
    </row>
    <row r="11" ht="85" customHeight="1">
      <c r="A11" s="7" t="str">
        <v>CHR-0007</v>
      </c>
      <c r="B11" s="7" t="str">
        <v>鲨鱼</v>
      </c>
      <c r="C11" s="7" t="str"/>
      <c r="D11" s="7" t="str">
        <v>个人</v>
      </c>
      <c r="E11" s="7" t="str">
        <v>密室会面相关人物；姓名或称号未核</v>
      </c>
      <c r="F11" s="7" t="str">
        <v>未明确，不按称号设计成动物</v>
      </c>
      <c r="G11" s="8" t="n">
        <v>1</v>
      </c>
      <c r="H11" s="7" t="str">
        <v>清单登记：未明确；首次入画未核</v>
      </c>
      <c r="I11" s="7" t="str">
        <v>待确认</v>
      </c>
      <c r="J11" s="7" t="str">
        <v>用户精简清单 P039</v>
      </c>
      <c r="K11" s="7" t="str">
        <v>3. 银女修炼密室、鲨鱼会议密室、神秘面具女性所在密室是否为同一实际地点，剧本未明确说明；在制作资产时可复用美术设计，但不能擅自认定为同一个房间。</v>
      </c>
      <c r="L11" s="7" t="str">
        <v>原文明示</v>
      </c>
      <c r="M11" s="7" t="str">
        <v>不适用</v>
      </c>
      <c r="N11" s="7" t="str">
        <v>需原剧分场复核，清单不能证明完整性</v>
      </c>
      <c r="O11" s="7" t="str"/>
      <c r="P11" s="7" t="str"/>
      <c r="Q11" s="7" t="str">
        <v>有效</v>
      </c>
      <c r="R11" s="7" t="str"/>
    </row>
    <row r="12" ht="85" customHeight="1">
      <c r="A12" s="7" t="str">
        <v>CHR-0008</v>
      </c>
      <c r="B12" s="7" t="str">
        <v>神秘面具女性</v>
      </c>
      <c r="C12" s="7" t="str"/>
      <c r="D12" s="7" t="str">
        <v>个人</v>
      </c>
      <c r="E12" s="7" t="str">
        <v>密室汇报相关人物；与银女关系未明</v>
      </c>
      <c r="F12" s="7" t="str">
        <v>面具女性的指称；面具式样未明确</v>
      </c>
      <c r="G12" s="8" t="n">
        <v>1</v>
      </c>
      <c r="H12" s="7" t="str">
        <v>清单登记：未明确；首次入画未核</v>
      </c>
      <c r="I12" s="7" t="str">
        <v>待确认</v>
      </c>
      <c r="J12" s="7" t="str">
        <v>用户精简清单 P039</v>
      </c>
      <c r="K12" s="7" t="str">
        <v>3. 银女修炼密室、鲨鱼会议密室、神秘面具女性所在密室是否为同一实际地点，剧本未明确说明；在制作资产时可复用美术设计，但不能擅自认定为同一个房间。</v>
      </c>
      <c r="L12" s="7" t="str">
        <v>原文明示</v>
      </c>
      <c r="M12" s="7" t="str">
        <v>不适用</v>
      </c>
      <c r="N12" s="7" t="str">
        <v>需原剧分场复核，清单不能证明完整性</v>
      </c>
      <c r="O12" s="7" t="str"/>
      <c r="P12" s="7" t="str"/>
      <c r="Q12" s="7" t="str">
        <v>有效</v>
      </c>
      <c r="R12" s="7" t="str"/>
    </row>
    <row r="13" ht="55" customHeight="1">
      <c r="A13" s="7" t="str">
        <v>CHR-0009</v>
      </c>
      <c r="B13" s="7" t="str">
        <v>江辰父亲</v>
      </c>
      <c r="C13" s="7" t="str"/>
      <c r="D13" s="7" t="str">
        <v>个人</v>
      </c>
      <c r="E13" s="7" t="str">
        <v>合葬墓指向人物，不据此推定闪回演员需求</v>
      </c>
      <c r="F13" s="7" t="str">
        <v>未明确</v>
      </c>
      <c r="G13" s="8" t="n">
        <v>1</v>
      </c>
      <c r="H13" s="7" t="str">
        <v>清单登记：第31—32集墓地关联；首次入画未核</v>
      </c>
      <c r="I13" s="7" t="str">
        <v>提及</v>
      </c>
      <c r="J13" s="7" t="str">
        <v>用户精简清单 T6R011</v>
      </c>
      <c r="K13" s="7" t="str">
        <v>墓地；墓碑、墓道、背景植被；江辰父母的合葬墓碑位置和特征固定</v>
      </c>
      <c r="L13" s="7" t="str">
        <v>原文明示</v>
      </c>
      <c r="M13" s="7" t="str">
        <v>不适用</v>
      </c>
      <c r="N13" s="7" t="str">
        <v>需原剧分场复核，清单不能证明完整性</v>
      </c>
      <c r="O13" s="7" t="str"/>
      <c r="P13" s="7" t="str"/>
      <c r="Q13" s="7" t="str">
        <v>有效</v>
      </c>
      <c r="R13" s="7" t="str"/>
    </row>
    <row r="14" ht="55" customHeight="1">
      <c r="A14" s="7" t="str">
        <v>CHR-0010</v>
      </c>
      <c r="B14" s="7" t="str">
        <v>江辰母亲</v>
      </c>
      <c r="C14" s="7" t="str"/>
      <c r="D14" s="7" t="str">
        <v>个人</v>
      </c>
      <c r="E14" s="7" t="str">
        <v>合葬墓指向人物，不据此推定闪回演员需求</v>
      </c>
      <c r="F14" s="7" t="str">
        <v>未明确</v>
      </c>
      <c r="G14" s="8" t="n">
        <v>1</v>
      </c>
      <c r="H14" s="7" t="str">
        <v>清单登记：第31—32集墓地关联；首次入画未核</v>
      </c>
      <c r="I14" s="7" t="str">
        <v>提及</v>
      </c>
      <c r="J14" s="7" t="str">
        <v>用户精简清单 T6R011</v>
      </c>
      <c r="K14" s="7" t="str">
        <v>墓地；墓碑、墓道、背景植被；江辰父母的合葬墓碑位置和特征固定</v>
      </c>
      <c r="L14" s="7" t="str">
        <v>原文明示</v>
      </c>
      <c r="M14" s="7" t="str">
        <v>不适用</v>
      </c>
      <c r="N14" s="7" t="str">
        <v>需原剧分场复核，清单不能证明完整性</v>
      </c>
      <c r="O14" s="7" t="str"/>
      <c r="P14" s="7" t="str"/>
      <c r="Q14" s="7" t="str">
        <v>有效</v>
      </c>
      <c r="R14" s="7" t="str"/>
    </row>
    <row r="15" ht="55" customHeight="1">
      <c r="A15" s="7" t="str">
        <v>CHR-0011</v>
      </c>
      <c r="B15" s="7" t="str">
        <v>大将军</v>
      </c>
      <c r="C15" s="7" t="str"/>
      <c r="D15" s="7" t="str">
        <v>动物个体</v>
      </c>
      <c r="E15" s="7" t="str">
        <v>动物角色，不能归为环境道具</v>
      </c>
      <c r="F15" s="7" t="str">
        <v>藏獒；毛色、体型、性别未明</v>
      </c>
      <c r="G15" s="8" t="n">
        <v>1</v>
      </c>
      <c r="H15" s="7" t="str">
        <v>清单登记：第3—8集别墅关联；首次入画未核</v>
      </c>
      <c r="I15" s="7" t="str">
        <v>待确认</v>
      </c>
      <c r="J15" s="7" t="str">
        <v>用户精简清单 T9R003</v>
      </c>
      <c r="K15" s="7" t="str">
        <v>动物角色；藏獒“大将军”；独立角色资产：趴卧、龇牙、扑出、服从、摇尾等动作。</v>
      </c>
      <c r="L15" s="7" t="str">
        <v>原文明示</v>
      </c>
      <c r="M15" s="7" t="str">
        <v>不适用</v>
      </c>
      <c r="N15" s="7" t="str">
        <v>需原剧分场复核，清单不能证明完整性</v>
      </c>
      <c r="O15" s="7" t="str"/>
      <c r="P15" s="7" t="str"/>
      <c r="Q15" s="7" t="str">
        <v>有效</v>
      </c>
      <c r="R15" s="7" t="str"/>
    </row>
    <row r="16" ht="70" customHeight="1">
      <c r="A16" s="7" t="str">
        <v>CHR-0012</v>
      </c>
      <c r="B16" s="7" t="str">
        <v>绑匪</v>
      </c>
      <c r="C16" s="7" t="str"/>
      <c r="D16" s="7" t="str">
        <v>群组</v>
      </c>
      <c r="E16" s="7" t="str">
        <v>群众/组织关联；跨场是否同批人未明确</v>
      </c>
      <c r="F16" s="7" t="str">
        <v>人数及衣着未明确；不能因组织标签生成统一制服</v>
      </c>
      <c r="G16" s="8" t="str">
        <v>未明确</v>
      </c>
      <c r="H16" s="7" t="str">
        <v>清单登记：未明确；首次入画未核</v>
      </c>
      <c r="I16" s="7" t="str">
        <v>待确认</v>
      </c>
      <c r="J16" s="7" t="str">
        <v>用户精简清单 T9R005</v>
      </c>
      <c r="K16" s="7" t="str">
        <v>群演与组织；绑匪、打手、杀手、特工、战神卫、地下势力等；属于人物/群演资产，不计入场景或道具数量。</v>
      </c>
      <c r="L16" s="7" t="str">
        <v>原文明示</v>
      </c>
      <c r="M16" s="7" t="str">
        <v>不适用</v>
      </c>
      <c r="N16" s="7" t="str">
        <v>需原剧分场复核，清单不能证明完整性</v>
      </c>
      <c r="O16" s="7" t="str"/>
      <c r="P16" s="7" t="str"/>
      <c r="Q16" s="7" t="str">
        <v>有效</v>
      </c>
      <c r="R16" s="7" t="str"/>
    </row>
    <row r="17" ht="70" customHeight="1">
      <c r="A17" s="7" t="str">
        <v>CHR-0013</v>
      </c>
      <c r="B17" s="7" t="str">
        <v>打手</v>
      </c>
      <c r="C17" s="7" t="str"/>
      <c r="D17" s="7" t="str">
        <v>群组</v>
      </c>
      <c r="E17" s="7" t="str">
        <v>群众/组织关联；跨场是否同批人未明确</v>
      </c>
      <c r="F17" s="7" t="str">
        <v>人数及衣着未明确；不能因组织标签生成统一制服</v>
      </c>
      <c r="G17" s="8" t="str">
        <v>未明确</v>
      </c>
      <c r="H17" s="7" t="str">
        <v>清单登记：未明确；首次入画未核</v>
      </c>
      <c r="I17" s="7" t="str">
        <v>待确认</v>
      </c>
      <c r="J17" s="7" t="str">
        <v>用户精简清单 T9R005</v>
      </c>
      <c r="K17" s="7" t="str">
        <v>群演与组织；绑匪、打手、杀手、特工、战神卫、地下势力等；属于人物/群演资产，不计入场景或道具数量。</v>
      </c>
      <c r="L17" s="7" t="str">
        <v>原文明示</v>
      </c>
      <c r="M17" s="7" t="str">
        <v>不适用</v>
      </c>
      <c r="N17" s="7" t="str">
        <v>需原剧分场复核，清单不能证明完整性</v>
      </c>
      <c r="O17" s="7" t="str"/>
      <c r="P17" s="7" t="str"/>
      <c r="Q17" s="7" t="str">
        <v>有效</v>
      </c>
      <c r="R17" s="7" t="str"/>
    </row>
    <row r="18" ht="70" customHeight="1">
      <c r="A18" s="7" t="str">
        <v>CHR-0014</v>
      </c>
      <c r="B18" s="7" t="str">
        <v>杀手</v>
      </c>
      <c r="C18" s="7" t="str"/>
      <c r="D18" s="7" t="str">
        <v>群组</v>
      </c>
      <c r="E18" s="7" t="str">
        <v>群众/组织关联；跨场是否同批人未明确</v>
      </c>
      <c r="F18" s="7" t="str">
        <v>人数及衣着未明确；不能因组织标签生成统一制服</v>
      </c>
      <c r="G18" s="8" t="str">
        <v>未明确</v>
      </c>
      <c r="H18" s="7" t="str">
        <v>清单登记：未明确；首次入画未核</v>
      </c>
      <c r="I18" s="7" t="str">
        <v>待确认</v>
      </c>
      <c r="J18" s="7" t="str">
        <v>用户精简清单 T9R005</v>
      </c>
      <c r="K18" s="7" t="str">
        <v>群演与组织；绑匪、打手、杀手、特工、战神卫、地下势力等；属于人物/群演资产，不计入场景或道具数量。</v>
      </c>
      <c r="L18" s="7" t="str">
        <v>原文明示</v>
      </c>
      <c r="M18" s="7" t="str">
        <v>不适用</v>
      </c>
      <c r="N18" s="7" t="str">
        <v>需原剧分场复核，清单不能证明完整性</v>
      </c>
      <c r="O18" s="7" t="str"/>
      <c r="P18" s="7" t="str"/>
      <c r="Q18" s="7" t="str">
        <v>有效</v>
      </c>
      <c r="R18" s="7" t="str"/>
    </row>
    <row r="19" ht="70" customHeight="1">
      <c r="A19" s="7" t="str">
        <v>CHR-0015</v>
      </c>
      <c r="B19" s="7" t="str">
        <v>特工</v>
      </c>
      <c r="C19" s="7" t="str"/>
      <c r="D19" s="7" t="str">
        <v>群组</v>
      </c>
      <c r="E19" s="7" t="str">
        <v>群众/组织关联；跨场是否同批人未明确</v>
      </c>
      <c r="F19" s="7" t="str">
        <v>人数及衣着未明确；不能因组织标签生成统一制服</v>
      </c>
      <c r="G19" s="8" t="str">
        <v>未明确</v>
      </c>
      <c r="H19" s="7" t="str">
        <v>清单登记：未明确；首次入画未核</v>
      </c>
      <c r="I19" s="7" t="str">
        <v>待确认</v>
      </c>
      <c r="J19" s="7" t="str">
        <v>用户精简清单 T9R005</v>
      </c>
      <c r="K19" s="7" t="str">
        <v>群演与组织；绑匪、打手、杀手、特工、战神卫、地下势力等；属于人物/群演资产，不计入场景或道具数量。</v>
      </c>
      <c r="L19" s="7" t="str">
        <v>原文明示</v>
      </c>
      <c r="M19" s="7" t="str">
        <v>不适用</v>
      </c>
      <c r="N19" s="7" t="str">
        <v>需原剧分场复核，清单不能证明完整性</v>
      </c>
      <c r="O19" s="7" t="str"/>
      <c r="P19" s="7" t="str"/>
      <c r="Q19" s="7" t="str">
        <v>有效</v>
      </c>
      <c r="R19" s="7" t="str"/>
    </row>
    <row r="20" ht="70" customHeight="1">
      <c r="A20" s="7" t="str">
        <v>CHR-0016</v>
      </c>
      <c r="B20" s="7" t="str">
        <v>战神卫</v>
      </c>
      <c r="C20" s="7" t="str"/>
      <c r="D20" s="7" t="str">
        <v>群组</v>
      </c>
      <c r="E20" s="7" t="str">
        <v>群众/组织关联；跨场是否同批人未明确</v>
      </c>
      <c r="F20" s="7" t="str">
        <v>人数及衣着未明确；不能因组织标签生成统一制服</v>
      </c>
      <c r="G20" s="8" t="str">
        <v>未明确</v>
      </c>
      <c r="H20" s="7" t="str">
        <v>清单登记：未明确；首次入画未核</v>
      </c>
      <c r="I20" s="7" t="str">
        <v>待确认</v>
      </c>
      <c r="J20" s="7" t="str">
        <v>用户精简清单 T9R005</v>
      </c>
      <c r="K20" s="7" t="str">
        <v>群演与组织；绑匪、打手、杀手、特工、战神卫、地下势力等；属于人物/群演资产，不计入场景或道具数量。</v>
      </c>
      <c r="L20" s="7" t="str">
        <v>原文明示</v>
      </c>
      <c r="M20" s="7" t="str">
        <v>不适用</v>
      </c>
      <c r="N20" s="7" t="str">
        <v>需原剧分场复核，清单不能证明完整性</v>
      </c>
      <c r="O20" s="7" t="str"/>
      <c r="P20" s="7" t="str"/>
      <c r="Q20" s="7" t="str">
        <v>有效</v>
      </c>
      <c r="R20" s="7" t="str"/>
    </row>
    <row r="21" ht="70" customHeight="1">
      <c r="A21" s="7" t="str">
        <v>CHR-0017</v>
      </c>
      <c r="B21" s="7" t="str">
        <v>地下势力人员</v>
      </c>
      <c r="C21" s="7" t="str"/>
      <c r="D21" s="7" t="str">
        <v>群组</v>
      </c>
      <c r="E21" s="7" t="str">
        <v>群众/组织关联；跨场是否同批人未明确</v>
      </c>
      <c r="F21" s="7" t="str">
        <v>人数及衣着未明确；不能因组织标签生成统一制服</v>
      </c>
      <c r="G21" s="8" t="str">
        <v>未明确</v>
      </c>
      <c r="H21" s="7" t="str">
        <v>清单登记：未明确；首次入画未核</v>
      </c>
      <c r="I21" s="7" t="str">
        <v>待确认</v>
      </c>
      <c r="J21" s="7" t="str">
        <v>用户精简清单 T9R005</v>
      </c>
      <c r="K21" s="7" t="str">
        <v>群演与组织；绑匪、打手、杀手、特工、战神卫、地下势力等；属于人物/群演资产，不计入场景或道具数量。</v>
      </c>
      <c r="L21" s="7" t="str">
        <v>原文明示</v>
      </c>
      <c r="M21" s="7" t="str">
        <v>不适用</v>
      </c>
      <c r="N21" s="7" t="str">
        <v>需原剧分场复核，清单不能证明完整性</v>
      </c>
      <c r="O21" s="7" t="str"/>
      <c r="P21" s="7" t="str"/>
      <c r="Q21" s="7" t="str">
        <v>有效</v>
      </c>
      <c r="R21" s="7" t="str"/>
    </row>
    <row r="22" ht="70" customHeight="1">
      <c r="A22" s="7" t="str">
        <v>CHR-0018</v>
      </c>
      <c r="B22" s="7" t="str">
        <v>校园背景学生</v>
      </c>
      <c r="C22" s="7" t="str"/>
      <c r="D22" s="7" t="str">
        <v>群组</v>
      </c>
      <c r="E22" s="7" t="str">
        <v>校园环境中的群众需求，独立提取不放家具陈设</v>
      </c>
      <c r="F22" s="7" t="str">
        <v>未明确</v>
      </c>
      <c r="G22" s="8" t="str">
        <v>未明确</v>
      </c>
      <c r="H22" s="7" t="str">
        <v>清单登记：第9集起；首次入画未核</v>
      </c>
      <c r="I22" s="7" t="str">
        <v>待确认</v>
      </c>
      <c r="J22" s="7" t="str">
        <v>用户精简清单 T2R003</v>
      </c>
      <c r="K22" s="7" t="str">
        <v>S02 大学校园；第9集起；校园冲突延至22集；大学门口、教学楼前、公共区、食堂；校园长椅、宣传栏、食堂桌椅、餐具、学生背景</v>
      </c>
      <c r="L22" s="7" t="str">
        <v>原文明示</v>
      </c>
      <c r="M22" s="7" t="str">
        <v>不适用</v>
      </c>
      <c r="N22" s="7" t="str">
        <v>需原剧分场复核，清单不能证明完整性</v>
      </c>
      <c r="O22" s="7" t="str"/>
      <c r="P22" s="7" t="str"/>
      <c r="Q22" s="7" t="str">
        <v>有效</v>
      </c>
      <c r="R22" s="7" t="str"/>
    </row>
    <row r="23" ht="55" customHeight="1">
      <c r="A23" s="7" t="str">
        <v>CHR-0019</v>
      </c>
      <c r="B23" s="7" t="str">
        <v>会所大佬群体</v>
      </c>
      <c r="C23" s="7" t="str"/>
      <c r="D23" s="7" t="str">
        <v>群组</v>
      </c>
      <c r="E23" s="7" t="str">
        <v>两侧座席人物；与地下势力群组可能重叠，暂不误合并</v>
      </c>
      <c r="F23" s="7" t="str">
        <v>未明确</v>
      </c>
      <c r="G23" s="8" t="str">
        <v>未明确</v>
      </c>
      <c r="H23" s="7" t="str">
        <v>清单登记：第34—41集；首次入画未核</v>
      </c>
      <c r="I23" s="7" t="str">
        <v>待确认</v>
      </c>
      <c r="J23" s="7" t="str">
        <v>用户精简清单 T5R003</v>
      </c>
      <c r="K23" s="7" t="str">
        <v>私人会所；门外＋内部大厅；中心主位、两侧大佬及保镖的位置不能因反打而颠倒</v>
      </c>
      <c r="L23" s="7" t="str">
        <v>原文明示</v>
      </c>
      <c r="M23" s="7" t="str">
        <v>不适用</v>
      </c>
      <c r="N23" s="7" t="str">
        <v>需原剧分场复核，清单不能证明完整性</v>
      </c>
      <c r="O23" s="7" t="str"/>
      <c r="P23" s="7" t="str"/>
      <c r="Q23" s="7" t="str">
        <v>有效</v>
      </c>
      <c r="R23" s="7" t="str"/>
    </row>
    <row r="24" ht="55" customHeight="1">
      <c r="A24" s="7" t="str">
        <v>CHR-0020</v>
      </c>
      <c r="B24" s="7" t="str">
        <v>会所保镖群体</v>
      </c>
      <c r="C24" s="7" t="str"/>
      <c r="D24" s="7" t="str">
        <v>群组</v>
      </c>
      <c r="E24" s="7" t="str">
        <v>会所站位人物；与其他打手群体关系未明</v>
      </c>
      <c r="F24" s="7" t="str">
        <v>未明确</v>
      </c>
      <c r="G24" s="8" t="str">
        <v>未明确</v>
      </c>
      <c r="H24" s="7" t="str">
        <v>清单登记：第34—41集；首次入画未核</v>
      </c>
      <c r="I24" s="7" t="str">
        <v>待确认</v>
      </c>
      <c r="J24" s="7" t="str">
        <v>用户精简清单 T5R003</v>
      </c>
      <c r="K24" s="7" t="str">
        <v>私人会所；门外＋内部大厅；中心主位、两侧大佬及保镖的位置不能因反打而颠倒</v>
      </c>
      <c r="L24" s="7" t="str">
        <v>原文明示</v>
      </c>
      <c r="M24" s="7" t="str">
        <v>不适用</v>
      </c>
      <c r="N24" s="7" t="str">
        <v>需原剧分场复核，清单不能证明完整性</v>
      </c>
      <c r="O24" s="7" t="str"/>
      <c r="P24" s="7" t="str"/>
      <c r="Q24" s="7" t="str">
        <v>有效</v>
      </c>
      <c r="R24" s="7" t="str"/>
    </row>
  </sheetData>
  <conditionalFormatting sqref="M5:M124">
    <cfRule type="containsText" dxfId="0" priority="1" operator="containsText" text="待确认"/>
  </conditionalFormatting>
  <conditionalFormatting sqref="N5:N124">
    <cfRule type="expression" dxfId="1" priority="2">
      <formula>AND(N5&lt;&gt;"",N5&lt;&gt;"无新增缺口")</formula>
    </cfRule>
  </conditionalFormatting>
  <dataValidations count="5">
    <dataValidation type="list" sqref="D5:D124">
      <formula1>"个人,群组,动物个体"</formula1>
    </dataValidation>
    <dataValidation type="list" sqref="I5:I124">
      <formula1>"入画,声音,提及,待确认"</formula1>
    </dataValidation>
    <dataValidation type="list" sqref="L5:L124">
      <formula1>"原文明示,合理推断,设计候选"</formula1>
    </dataValidation>
    <dataValidation type="list" sqref="M5:M124">
      <formula1>"待确认,已确认,不适用"</formula1>
    </dataValidation>
    <dataValidation type="list" sqref="Q5:Q124">
      <formula1>"有效,已合并,已停用"</formula1>
    </dataValidation>
  </dataValidations>
  <hyperlinks>
    <hyperlink ref="C2" location="'使用说明与总览'!A1"/>
  </hyperlinks>
  <pageMargins left="0.7" right="0.7" top="0.75" bottom="0.75" header="0.3" footer="0.3"/>
  <tableParts count="1">
    <tablePart r:id="R291c5874b026410e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22" hidden="0" customWidth="1"/>
    <col min="4" max="4" width="32" hidden="0" customWidth="1"/>
    <col min="5" max="5" width="22" hidden="0" customWidth="1"/>
    <col min="6" max="6" width="22" hidden="0" customWidth="1"/>
    <col min="7" max="7" width="32" hidden="0" customWidth="1"/>
    <col min="8" max="8" width="32" hidden="0" customWidth="1"/>
    <col min="9" max="9" width="22" hidden="0" customWidth="1"/>
    <col min="10" max="10" width="22" hidden="0" customWidth="1"/>
    <col min="11" max="11" width="22" hidden="0" customWidth="1"/>
    <col min="12" max="12" width="32" hidden="0" customWidth="1"/>
    <col min="13" max="13" width="22" hidden="0" customWidth="1"/>
    <col min="14" max="14" width="22" hidden="0" customWidth="1"/>
    <col min="15" max="15" width="32" hidden="0" customWidth="1"/>
    <col min="16" max="16" width="32" hidden="0" customWidth="1"/>
    <col min="17" max="17" width="32" hidden="0" customWidth="1"/>
    <col min="18" max="18" width="22" hidden="0" customWidth="1"/>
    <col min="19" max="19" width="2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 t="str">
        <v>角色服装与状态</v>
      </c>
      <c r="B2" s="1"/>
      <c r="C2" s="1" t="str">
        <v>返回总览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38" customHeight="1">
      <c r="A4" s="5" t="str">
        <v>变体编号</v>
      </c>
      <c r="B4" s="5" t="str">
        <v>角色编号</v>
      </c>
      <c r="C4" s="5" t="str">
        <v>基准变体编号</v>
      </c>
      <c r="D4" s="5" t="str">
        <v>服装</v>
      </c>
      <c r="E4" s="5" t="str">
        <v>妆发</v>
      </c>
      <c r="F4" s="5" t="str">
        <v>年龄或形态</v>
      </c>
      <c r="G4" s="5" t="str">
        <v>可见状态</v>
      </c>
      <c r="H4" s="5" t="str">
        <v>与基准差异</v>
      </c>
      <c r="I4" s="5" t="str">
        <v>适用场次</v>
      </c>
      <c r="J4" s="5" t="str">
        <v>制作建议</v>
      </c>
      <c r="K4" s="5" t="str">
        <v>原文定位</v>
      </c>
      <c r="L4" s="5" t="str">
        <v>原文摘录</v>
      </c>
      <c r="M4" s="5" t="str">
        <v>证据性质</v>
      </c>
      <c r="N4" s="5" t="str">
        <v>确认状态</v>
      </c>
      <c r="O4" s="5" t="str">
        <v>待确认项</v>
      </c>
      <c r="P4" s="5" t="str">
        <v>用户批注</v>
      </c>
      <c r="Q4" s="5" t="str">
        <v>变更说明</v>
      </c>
      <c r="R4" s="5" t="str">
        <v>记录状态</v>
      </c>
      <c r="S4" s="5" t="str">
        <v>合并至编号</v>
      </c>
    </row>
    <row r="5" ht="48" customHeight="1">
      <c r="A5" s="7" t="str">
        <v>CHV-0001</v>
      </c>
      <c r="B5" s="9" t="str">
        <v>CHR-0001</v>
      </c>
      <c r="C5" s="7" t="str"/>
      <c r="D5" s="7" t="str">
        <v>未明确</v>
      </c>
      <c r="E5" s="7" t="str">
        <v>未明确</v>
      </c>
      <c r="F5" s="7" t="str">
        <v>未明确</v>
      </c>
      <c r="G5" s="7" t="str">
        <v>半面具佩戴/摘下及通讯耳机需求；服装未明确</v>
      </c>
      <c r="H5" s="7" t="str">
        <v>待设定的基准外观；非已确认定妆</v>
      </c>
      <c r="I5" s="7" t="str">
        <v>清单范围：第1集起；逐场待补</v>
      </c>
      <c r="J5" s="7" t="str">
        <v>补充参考</v>
      </c>
      <c r="K5" s="7" t="str">
        <v>用户精简清单 T7R010</v>
      </c>
      <c r="L5" s="7" t="str">
        <v>通讯耳机；第1集起；绑定江辰孤狼人物造型</v>
      </c>
      <c r="M5" s="7" t="str">
        <v>原文明示</v>
      </c>
      <c r="N5" s="7" t="str">
        <v>不适用</v>
      </c>
      <c r="O5" s="7" t="str">
        <v>候选：先确定基准外观；不依据身份标签擅定服装、年龄和伤势。</v>
      </c>
      <c r="P5" s="7" t="str"/>
      <c r="Q5" s="7" t="str"/>
      <c r="R5" s="7" t="str">
        <v>有效</v>
      </c>
      <c r="S5" s="7" t="str"/>
    </row>
    <row r="6" ht="85" customHeight="1">
      <c r="A6" s="7" t="str">
        <v>CHV-0002</v>
      </c>
      <c r="B6" s="9" t="str">
        <v>CHR-0002</v>
      </c>
      <c r="C6" s="7" t="str"/>
      <c r="D6" s="7" t="str">
        <v>未明确</v>
      </c>
      <c r="E6" s="7" t="str">
        <v>未明确</v>
      </c>
      <c r="F6" s="7" t="str">
        <v>未明确</v>
      </c>
      <c r="G6" s="7" t="str">
        <v>耳环及棒棒糖关联；衣着妆发未明</v>
      </c>
      <c r="H6" s="7" t="str">
        <v>待设定的基准外观；非已确认定妆</v>
      </c>
      <c r="I6" s="7" t="str">
        <v>清单范围：第1集仅玉关联，首次本人入画未明；逐场待补</v>
      </c>
      <c r="J6" s="7" t="str">
        <v>补充参考</v>
      </c>
      <c r="K6" s="7" t="str">
        <v>用户精简清单 T8R002</v>
      </c>
      <c r="L6" s="7" t="str">
        <v>P01 西王母玉（阴/阳）；第1集提及；必须独立；阴玉与苏小菲身体融合；阳玉关联江辰。分实物历史状态和身体能量表现，不默认是可随手取出的玉佩。</v>
      </c>
      <c r="M6" s="7" t="str">
        <v>原文明示</v>
      </c>
      <c r="N6" s="7" t="str">
        <v>不适用</v>
      </c>
      <c r="O6" s="7" t="str">
        <v>候选：先确定基准外观；不依据身份标签擅定服装、年龄和伤势。</v>
      </c>
      <c r="P6" s="7" t="str"/>
      <c r="Q6" s="7" t="str"/>
      <c r="R6" s="7" t="str">
        <v>有效</v>
      </c>
      <c r="S6" s="7" t="str"/>
    </row>
    <row r="7" ht="48" customHeight="1">
      <c r="A7" s="7" t="str">
        <v>CHV-0003</v>
      </c>
      <c r="B7" s="9" t="str">
        <v>CHR-0003</v>
      </c>
      <c r="C7" s="7" t="str"/>
      <c r="D7" s="7" t="str">
        <v>未明确</v>
      </c>
      <c r="E7" s="7" t="str">
        <v>未明确</v>
      </c>
      <c r="F7" s="7" t="str">
        <v>未明确</v>
      </c>
      <c r="G7" s="7" t="str">
        <v>受伤/毛巾/冰袋需求，伤处未明确</v>
      </c>
      <c r="H7" s="7" t="str">
        <v>待设定的基准外观；非已确认定妆</v>
      </c>
      <c r="I7" s="7" t="str">
        <v>清单范围：第6集；逐场待补</v>
      </c>
      <c r="J7" s="7" t="str">
        <v>补充参考</v>
      </c>
      <c r="K7" s="7" t="str">
        <v>用户精简清单 T7R004</v>
      </c>
      <c r="L7" s="7" t="str">
        <v>毛巾、冰袋；第6集；随张阎王受伤妆造生成</v>
      </c>
      <c r="M7" s="7" t="str">
        <v>原文明示</v>
      </c>
      <c r="N7" s="7" t="str">
        <v>不适用</v>
      </c>
      <c r="O7" s="7" t="str">
        <v>候选：先确定基准外观；不依据身份标签擅定服装、年龄和伤势。</v>
      </c>
      <c r="P7" s="7" t="str"/>
      <c r="Q7" s="7" t="str"/>
      <c r="R7" s="7" t="str">
        <v>有效</v>
      </c>
      <c r="S7" s="7" t="str"/>
    </row>
    <row r="8" ht="55" customHeight="1">
      <c r="A8" s="7" t="str">
        <v>CHV-0004</v>
      </c>
      <c r="B8" s="9" t="str">
        <v>CHR-0004</v>
      </c>
      <c r="C8" s="7" t="str"/>
      <c r="D8" s="7" t="str">
        <v>未明确</v>
      </c>
      <c r="E8" s="7" t="str">
        <v>未明确</v>
      </c>
      <c r="F8" s="7" t="str">
        <v>未明确</v>
      </c>
      <c r="G8" s="7" t="str">
        <v>钢铁拳套，其他外观未明</v>
      </c>
      <c r="H8" s="7" t="str">
        <v>待设定的基准外观；非已确认定妆</v>
      </c>
      <c r="I8" s="7" t="str">
        <v>清单范围：第19集；逐场待补</v>
      </c>
      <c r="J8" s="7" t="str">
        <v>补充参考</v>
      </c>
      <c r="K8" s="7" t="str">
        <v>用户精简清单 T8R008</v>
      </c>
      <c r="L8" s="7" t="str">
        <v>P07 周天钢铁拳套；第19集；必须独立；完整、受击、裂纹、破裂；需与耳环尺寸和攻击方向匹配。</v>
      </c>
      <c r="M8" s="7" t="str">
        <v>原文明示</v>
      </c>
      <c r="N8" s="7" t="str">
        <v>不适用</v>
      </c>
      <c r="O8" s="7" t="str">
        <v>候选：先确定基准外观；不依据身份标签擅定服装、年龄和伤势。</v>
      </c>
      <c r="P8" s="7" t="str"/>
      <c r="Q8" s="7" t="str"/>
      <c r="R8" s="7" t="str">
        <v>有效</v>
      </c>
      <c r="S8" s="7" t="str"/>
    </row>
    <row r="9" ht="55" customHeight="1">
      <c r="A9" s="7" t="str">
        <v>CHV-0005</v>
      </c>
      <c r="B9" s="9" t="str">
        <v>CHR-0005</v>
      </c>
      <c r="C9" s="7" t="str"/>
      <c r="D9" s="7" t="str">
        <v>未明确</v>
      </c>
      <c r="E9" s="7" t="str">
        <v>未明确</v>
      </c>
      <c r="F9" s="7" t="str">
        <v>未明确</v>
      </c>
      <c r="G9" s="7" t="str">
        <v>标志性血红手套，左右手待核</v>
      </c>
      <c r="H9" s="7" t="str">
        <v>待设定的基准外观；非已确认定妆</v>
      </c>
      <c r="I9" s="7" t="str">
        <v>清单范围：第9集；逐场待补</v>
      </c>
      <c r="J9" s="7" t="str">
        <v>补充参考</v>
      </c>
      <c r="K9" s="7" t="str">
        <v>用户精简清单 T8R009</v>
      </c>
      <c r="L9" s="7" t="str">
        <v>P08 血手红手套；第9集；必须独立；标志性血红色手套，固定左右手与接触动作。</v>
      </c>
      <c r="M9" s="7" t="str">
        <v>原文明示</v>
      </c>
      <c r="N9" s="7" t="str">
        <v>不适用</v>
      </c>
      <c r="O9" s="7" t="str">
        <v>候选：先确定基准外观；不依据身份标签擅定服装、年龄和伤势。</v>
      </c>
      <c r="P9" s="7" t="str"/>
      <c r="Q9" s="7" t="str"/>
      <c r="R9" s="7" t="str">
        <v>有效</v>
      </c>
      <c r="S9" s="7" t="str"/>
    </row>
    <row r="10" ht="55" customHeight="1">
      <c r="A10" s="7" t="str">
        <v>CHV-0006</v>
      </c>
      <c r="B10" s="9" t="str">
        <v>CHR-0006</v>
      </c>
      <c r="C10" s="7" t="str"/>
      <c r="D10" s="7" t="str">
        <v>未明确</v>
      </c>
      <c r="E10" s="7" t="str">
        <v>未明确</v>
      </c>
      <c r="F10" s="7" t="str">
        <v>未明确</v>
      </c>
      <c r="G10" s="7" t="str">
        <v>飞刀与能量关联；“银女”不推导银发/银衣</v>
      </c>
      <c r="H10" s="7" t="str">
        <v>待设定的基准外观；非已确认定妆</v>
      </c>
      <c r="I10" s="7" t="str">
        <v>清单范围：首次入画未明确；飞刀第58集；逐场待补</v>
      </c>
      <c r="J10" s="7" t="str">
        <v>补充参考</v>
      </c>
      <c r="K10" s="7" t="str">
        <v>用户精简清单 T8R010</v>
      </c>
      <c r="L10" s="7" t="str">
        <v>P09 银女飞刀；第58集；必须独立；三把/九把，黑气附着、金光转化与回射。</v>
      </c>
      <c r="M10" s="7" t="str">
        <v>原文明示</v>
      </c>
      <c r="N10" s="7" t="str">
        <v>不适用</v>
      </c>
      <c r="O10" s="7" t="str">
        <v>候选：先确定基准外观；不依据身份标签擅定服装、年龄和伤势。</v>
      </c>
      <c r="P10" s="7" t="str"/>
      <c r="Q10" s="7" t="str"/>
      <c r="R10" s="7" t="str">
        <v>有效</v>
      </c>
      <c r="S10" s="7" t="str"/>
    </row>
    <row r="11" ht="85" customHeight="1">
      <c r="A11" s="7" t="str">
        <v>CHV-0007</v>
      </c>
      <c r="B11" s="9" t="str">
        <v>CHR-0007</v>
      </c>
      <c r="C11" s="7" t="str"/>
      <c r="D11" s="7" t="str">
        <v>未明确</v>
      </c>
      <c r="E11" s="7" t="str">
        <v>未明确</v>
      </c>
      <c r="F11" s="7" t="str">
        <v>未明确</v>
      </c>
      <c r="G11" s="7" t="str">
        <v>未明确，不按称号设计成动物</v>
      </c>
      <c r="H11" s="7" t="str">
        <v>待设定的基准外观；非已确认定妆</v>
      </c>
      <c r="I11" s="7" t="str">
        <v>清单范围：未明确；逐场待补</v>
      </c>
      <c r="J11" s="7" t="str">
        <v>补充参考</v>
      </c>
      <c r="K11" s="7" t="str">
        <v>用户精简清单 P039</v>
      </c>
      <c r="L11" s="7" t="str">
        <v>3. 银女修炼密室、鲨鱼会议密室、神秘面具女性所在密室是否为同一实际地点，剧本未明确说明；在制作资产时可复用美术设计，但不能擅自认定为同一个房间。</v>
      </c>
      <c r="M11" s="7" t="str">
        <v>原文明示</v>
      </c>
      <c r="N11" s="7" t="str">
        <v>不适用</v>
      </c>
      <c r="O11" s="7" t="str">
        <v>候选：先确定基准外观；不依据身份标签擅定服装、年龄和伤势。</v>
      </c>
      <c r="P11" s="7" t="str"/>
      <c r="Q11" s="7" t="str"/>
      <c r="R11" s="7" t="str">
        <v>有效</v>
      </c>
      <c r="S11" s="7" t="str"/>
    </row>
    <row r="12" ht="85" customHeight="1">
      <c r="A12" s="7" t="str">
        <v>CHV-0008</v>
      </c>
      <c r="B12" s="9" t="str">
        <v>CHR-0008</v>
      </c>
      <c r="C12" s="7" t="str"/>
      <c r="D12" s="7" t="str">
        <v>未明确</v>
      </c>
      <c r="E12" s="7" t="str">
        <v>未明确</v>
      </c>
      <c r="F12" s="7" t="str">
        <v>未明确</v>
      </c>
      <c r="G12" s="7" t="str">
        <v>面具女性的指称；面具式样未明确</v>
      </c>
      <c r="H12" s="7" t="str">
        <v>待设定的基准外观；非已确认定妆</v>
      </c>
      <c r="I12" s="7" t="str">
        <v>清单范围：未明确；逐场待补</v>
      </c>
      <c r="J12" s="7" t="str">
        <v>补充参考</v>
      </c>
      <c r="K12" s="7" t="str">
        <v>用户精简清单 P039</v>
      </c>
      <c r="L12" s="7" t="str">
        <v>3. 银女修炼密室、鲨鱼会议密室、神秘面具女性所在密室是否为同一实际地点，剧本未明确说明；在制作资产时可复用美术设计，但不能擅自认定为同一个房间。</v>
      </c>
      <c r="M12" s="7" t="str">
        <v>原文明示</v>
      </c>
      <c r="N12" s="7" t="str">
        <v>不适用</v>
      </c>
      <c r="O12" s="7" t="str">
        <v>候选：先确定基准外观；不依据身份标签擅定服装、年龄和伤势。</v>
      </c>
      <c r="P12" s="7" t="str"/>
      <c r="Q12" s="7" t="str"/>
      <c r="R12" s="7" t="str">
        <v>有效</v>
      </c>
      <c r="S12" s="7" t="str"/>
    </row>
    <row r="13" ht="55" customHeight="1">
      <c r="A13" s="7" t="str">
        <v>CHV-0009</v>
      </c>
      <c r="B13" s="9" t="str">
        <v>CHR-0011</v>
      </c>
      <c r="C13" s="7" t="str"/>
      <c r="D13" s="7" t="str">
        <v>未明确</v>
      </c>
      <c r="E13" s="7" t="str">
        <v>未明确</v>
      </c>
      <c r="F13" s="7" t="str">
        <v>动物：藏獒</v>
      </c>
      <c r="G13" s="7" t="str">
        <v>藏獒；毛色、体型、性别未明</v>
      </c>
      <c r="H13" s="7" t="str">
        <v>待设定的基准外观；非已确认定妆</v>
      </c>
      <c r="I13" s="7" t="str">
        <v>清单范围：第3—8集别墅关联；逐场待补</v>
      </c>
      <c r="J13" s="7" t="str">
        <v>补充参考</v>
      </c>
      <c r="K13" s="7" t="str">
        <v>用户精简清单 T9R003</v>
      </c>
      <c r="L13" s="7" t="str">
        <v>动物角色；藏獒“大将军”；独立角色资产：趴卧、龇牙、扑出、服从、摇尾等动作。</v>
      </c>
      <c r="M13" s="7" t="str">
        <v>原文明示</v>
      </c>
      <c r="N13" s="7" t="str">
        <v>不适用</v>
      </c>
      <c r="O13" s="7" t="str">
        <v>候选：先确定基准外观；不依据身份标签擅定服装、年龄和伤势。</v>
      </c>
      <c r="P13" s="7" t="str"/>
      <c r="Q13" s="7" t="str"/>
      <c r="R13" s="7" t="str">
        <v>有效</v>
      </c>
      <c r="S13" s="7" t="str"/>
    </row>
    <row r="14" ht="70" customHeight="1">
      <c r="A14" s="7" t="str">
        <v>CHV-0010</v>
      </c>
      <c r="B14" s="9" t="str">
        <v>CHR-0012</v>
      </c>
      <c r="C14" s="7" t="str"/>
      <c r="D14" s="7" t="str">
        <v>未明确</v>
      </c>
      <c r="E14" s="7" t="str">
        <v>未明确</v>
      </c>
      <c r="F14" s="7" t="str">
        <v>未明确</v>
      </c>
      <c r="G14" s="7" t="str">
        <v>人数及衣着未明确；不能因组织标签生成统一制服</v>
      </c>
      <c r="H14" s="7" t="str">
        <v>待设定的基准外观；非已确认定妆</v>
      </c>
      <c r="I14" s="7" t="str">
        <v>清单范围：未明确；逐场待补</v>
      </c>
      <c r="J14" s="7" t="str">
        <v>补充参考</v>
      </c>
      <c r="K14" s="7" t="str">
        <v>用户精简清单 T9R005</v>
      </c>
      <c r="L14" s="7" t="str">
        <v>群演与组织；绑匪、打手、杀手、特工、战神卫、地下势力等；属于人物/群演资产，不计入场景或道具数量。</v>
      </c>
      <c r="M14" s="7" t="str">
        <v>原文明示</v>
      </c>
      <c r="N14" s="7" t="str">
        <v>不适用</v>
      </c>
      <c r="O14" s="7" t="str">
        <v>候选：先确定基准外观；不依据身份标签擅定服装、年龄和伤势。</v>
      </c>
      <c r="P14" s="7" t="str"/>
      <c r="Q14" s="7" t="str"/>
      <c r="R14" s="7" t="str">
        <v>有效</v>
      </c>
      <c r="S14" s="7" t="str"/>
    </row>
    <row r="15" ht="70" customHeight="1">
      <c r="A15" s="7" t="str">
        <v>CHV-0011</v>
      </c>
      <c r="B15" s="9" t="str">
        <v>CHR-0013</v>
      </c>
      <c r="C15" s="7" t="str"/>
      <c r="D15" s="7" t="str">
        <v>未明确</v>
      </c>
      <c r="E15" s="7" t="str">
        <v>未明确</v>
      </c>
      <c r="F15" s="7" t="str">
        <v>未明确</v>
      </c>
      <c r="G15" s="7" t="str">
        <v>人数及衣着未明确；不能因组织标签生成统一制服</v>
      </c>
      <c r="H15" s="7" t="str">
        <v>待设定的基准外观；非已确认定妆</v>
      </c>
      <c r="I15" s="7" t="str">
        <v>清单范围：未明确；逐场待补</v>
      </c>
      <c r="J15" s="7" t="str">
        <v>补充参考</v>
      </c>
      <c r="K15" s="7" t="str">
        <v>用户精简清单 T9R005</v>
      </c>
      <c r="L15" s="7" t="str">
        <v>群演与组织；绑匪、打手、杀手、特工、战神卫、地下势力等；属于人物/群演资产，不计入场景或道具数量。</v>
      </c>
      <c r="M15" s="7" t="str">
        <v>原文明示</v>
      </c>
      <c r="N15" s="7" t="str">
        <v>不适用</v>
      </c>
      <c r="O15" s="7" t="str">
        <v>候选：先确定基准外观；不依据身份标签擅定服装、年龄和伤势。</v>
      </c>
      <c r="P15" s="7" t="str"/>
      <c r="Q15" s="7" t="str"/>
      <c r="R15" s="7" t="str">
        <v>有效</v>
      </c>
      <c r="S15" s="7" t="str"/>
    </row>
    <row r="16" ht="70" customHeight="1">
      <c r="A16" s="7" t="str">
        <v>CHV-0012</v>
      </c>
      <c r="B16" s="9" t="str">
        <v>CHR-0014</v>
      </c>
      <c r="C16" s="7" t="str"/>
      <c r="D16" s="7" t="str">
        <v>未明确</v>
      </c>
      <c r="E16" s="7" t="str">
        <v>未明确</v>
      </c>
      <c r="F16" s="7" t="str">
        <v>未明确</v>
      </c>
      <c r="G16" s="7" t="str">
        <v>人数及衣着未明确；不能因组织标签生成统一制服</v>
      </c>
      <c r="H16" s="7" t="str">
        <v>待设定的基准外观；非已确认定妆</v>
      </c>
      <c r="I16" s="7" t="str">
        <v>清单范围：未明确；逐场待补</v>
      </c>
      <c r="J16" s="7" t="str">
        <v>补充参考</v>
      </c>
      <c r="K16" s="7" t="str">
        <v>用户精简清单 T9R005</v>
      </c>
      <c r="L16" s="7" t="str">
        <v>群演与组织；绑匪、打手、杀手、特工、战神卫、地下势力等；属于人物/群演资产，不计入场景或道具数量。</v>
      </c>
      <c r="M16" s="7" t="str">
        <v>原文明示</v>
      </c>
      <c r="N16" s="7" t="str">
        <v>不适用</v>
      </c>
      <c r="O16" s="7" t="str">
        <v>候选：先确定基准外观；不依据身份标签擅定服装、年龄和伤势。</v>
      </c>
      <c r="P16" s="7" t="str"/>
      <c r="Q16" s="7" t="str"/>
      <c r="R16" s="7" t="str">
        <v>有效</v>
      </c>
      <c r="S16" s="7" t="str"/>
    </row>
    <row r="17" ht="70" customHeight="1">
      <c r="A17" s="7" t="str">
        <v>CHV-0013</v>
      </c>
      <c r="B17" s="9" t="str">
        <v>CHR-0015</v>
      </c>
      <c r="C17" s="7" t="str"/>
      <c r="D17" s="7" t="str">
        <v>未明确</v>
      </c>
      <c r="E17" s="7" t="str">
        <v>未明确</v>
      </c>
      <c r="F17" s="7" t="str">
        <v>未明确</v>
      </c>
      <c r="G17" s="7" t="str">
        <v>人数及衣着未明确；不能因组织标签生成统一制服</v>
      </c>
      <c r="H17" s="7" t="str">
        <v>待设定的基准外观；非已确认定妆</v>
      </c>
      <c r="I17" s="7" t="str">
        <v>清单范围：未明确；逐场待补</v>
      </c>
      <c r="J17" s="7" t="str">
        <v>补充参考</v>
      </c>
      <c r="K17" s="7" t="str">
        <v>用户精简清单 T9R005</v>
      </c>
      <c r="L17" s="7" t="str">
        <v>群演与组织；绑匪、打手、杀手、特工、战神卫、地下势力等；属于人物/群演资产，不计入场景或道具数量。</v>
      </c>
      <c r="M17" s="7" t="str">
        <v>原文明示</v>
      </c>
      <c r="N17" s="7" t="str">
        <v>不适用</v>
      </c>
      <c r="O17" s="7" t="str">
        <v>候选：先确定基准外观；不依据身份标签擅定服装、年龄和伤势。</v>
      </c>
      <c r="P17" s="7" t="str"/>
      <c r="Q17" s="7" t="str"/>
      <c r="R17" s="7" t="str">
        <v>有效</v>
      </c>
      <c r="S17" s="7" t="str"/>
    </row>
    <row r="18" ht="70" customHeight="1">
      <c r="A18" s="7" t="str">
        <v>CHV-0014</v>
      </c>
      <c r="B18" s="9" t="str">
        <v>CHR-0016</v>
      </c>
      <c r="C18" s="7" t="str"/>
      <c r="D18" s="7" t="str">
        <v>未明确</v>
      </c>
      <c r="E18" s="7" t="str">
        <v>未明确</v>
      </c>
      <c r="F18" s="7" t="str">
        <v>未明确</v>
      </c>
      <c r="G18" s="7" t="str">
        <v>人数及衣着未明确；不能因组织标签生成统一制服</v>
      </c>
      <c r="H18" s="7" t="str">
        <v>待设定的基准外观；非已确认定妆</v>
      </c>
      <c r="I18" s="7" t="str">
        <v>清单范围：未明确；逐场待补</v>
      </c>
      <c r="J18" s="7" t="str">
        <v>补充参考</v>
      </c>
      <c r="K18" s="7" t="str">
        <v>用户精简清单 T9R005</v>
      </c>
      <c r="L18" s="7" t="str">
        <v>群演与组织；绑匪、打手、杀手、特工、战神卫、地下势力等；属于人物/群演资产，不计入场景或道具数量。</v>
      </c>
      <c r="M18" s="7" t="str">
        <v>原文明示</v>
      </c>
      <c r="N18" s="7" t="str">
        <v>不适用</v>
      </c>
      <c r="O18" s="7" t="str">
        <v>候选：先确定基准外观；不依据身份标签擅定服装、年龄和伤势。</v>
      </c>
      <c r="P18" s="7" t="str"/>
      <c r="Q18" s="7" t="str"/>
      <c r="R18" s="7" t="str">
        <v>有效</v>
      </c>
      <c r="S18" s="7" t="str"/>
    </row>
    <row r="19" ht="70" customHeight="1">
      <c r="A19" s="7" t="str">
        <v>CHV-0015</v>
      </c>
      <c r="B19" s="9" t="str">
        <v>CHR-0017</v>
      </c>
      <c r="C19" s="7" t="str"/>
      <c r="D19" s="7" t="str">
        <v>未明确</v>
      </c>
      <c r="E19" s="7" t="str">
        <v>未明确</v>
      </c>
      <c r="F19" s="7" t="str">
        <v>未明确</v>
      </c>
      <c r="G19" s="7" t="str">
        <v>人数及衣着未明确；不能因组织标签生成统一制服</v>
      </c>
      <c r="H19" s="7" t="str">
        <v>待设定的基准外观；非已确认定妆</v>
      </c>
      <c r="I19" s="7" t="str">
        <v>清单范围：未明确；逐场待补</v>
      </c>
      <c r="J19" s="7" t="str">
        <v>补充参考</v>
      </c>
      <c r="K19" s="7" t="str">
        <v>用户精简清单 T9R005</v>
      </c>
      <c r="L19" s="7" t="str">
        <v>群演与组织；绑匪、打手、杀手、特工、战神卫、地下势力等；属于人物/群演资产，不计入场景或道具数量。</v>
      </c>
      <c r="M19" s="7" t="str">
        <v>原文明示</v>
      </c>
      <c r="N19" s="7" t="str">
        <v>不适用</v>
      </c>
      <c r="O19" s="7" t="str">
        <v>候选：先确定基准外观；不依据身份标签擅定服装、年龄和伤势。</v>
      </c>
      <c r="P19" s="7" t="str"/>
      <c r="Q19" s="7" t="str"/>
      <c r="R19" s="7" t="str">
        <v>有效</v>
      </c>
      <c r="S19" s="7" t="str"/>
    </row>
    <row r="20" ht="70" customHeight="1">
      <c r="A20" s="7" t="str">
        <v>CHV-0016</v>
      </c>
      <c r="B20" s="9" t="str">
        <v>CHR-0018</v>
      </c>
      <c r="C20" s="7" t="str"/>
      <c r="D20" s="7" t="str">
        <v>未明确</v>
      </c>
      <c r="E20" s="7" t="str">
        <v>未明确</v>
      </c>
      <c r="F20" s="7" t="str">
        <v>未明确</v>
      </c>
      <c r="G20" s="7" t="str">
        <v>未明确</v>
      </c>
      <c r="H20" s="7" t="str">
        <v>待设定的基准外观；非已确认定妆</v>
      </c>
      <c r="I20" s="7" t="str">
        <v>清单范围：第9集起；逐场待补</v>
      </c>
      <c r="J20" s="7" t="str">
        <v>补充参考</v>
      </c>
      <c r="K20" s="7" t="str">
        <v>用户精简清单 T2R003</v>
      </c>
      <c r="L20" s="7" t="str">
        <v>S02 大学校园；第9集起；校园冲突延至22集；大学门口、教学楼前、公共区、食堂；校园长椅、宣传栏、食堂桌椅、餐具、学生背景</v>
      </c>
      <c r="M20" s="7" t="str">
        <v>原文明示</v>
      </c>
      <c r="N20" s="7" t="str">
        <v>不适用</v>
      </c>
      <c r="O20" s="7" t="str">
        <v>候选：先确定基准外观；不依据身份标签擅定服装、年龄和伤势。</v>
      </c>
      <c r="P20" s="7" t="str"/>
      <c r="Q20" s="7" t="str"/>
      <c r="R20" s="7" t="str">
        <v>有效</v>
      </c>
      <c r="S20" s="7" t="str"/>
    </row>
    <row r="21" ht="55" customHeight="1">
      <c r="A21" s="7" t="str">
        <v>CHV-0017</v>
      </c>
      <c r="B21" s="9" t="str">
        <v>CHR-0019</v>
      </c>
      <c r="C21" s="7" t="str"/>
      <c r="D21" s="7" t="str">
        <v>未明确</v>
      </c>
      <c r="E21" s="7" t="str">
        <v>未明确</v>
      </c>
      <c r="F21" s="7" t="str">
        <v>未明确</v>
      </c>
      <c r="G21" s="7" t="str">
        <v>未明确</v>
      </c>
      <c r="H21" s="7" t="str">
        <v>待设定的基准外观；非已确认定妆</v>
      </c>
      <c r="I21" s="7" t="str">
        <v>清单范围：第34—41集；逐场待补</v>
      </c>
      <c r="J21" s="7" t="str">
        <v>补充参考</v>
      </c>
      <c r="K21" s="7" t="str">
        <v>用户精简清单 T5R003</v>
      </c>
      <c r="L21" s="7" t="str">
        <v>私人会所；门外＋内部大厅；中心主位、两侧大佬及保镖的位置不能因反打而颠倒</v>
      </c>
      <c r="M21" s="7" t="str">
        <v>原文明示</v>
      </c>
      <c r="N21" s="7" t="str">
        <v>不适用</v>
      </c>
      <c r="O21" s="7" t="str">
        <v>候选：先确定基准外观；不依据身份标签擅定服装、年龄和伤势。</v>
      </c>
      <c r="P21" s="7" t="str"/>
      <c r="Q21" s="7" t="str"/>
      <c r="R21" s="7" t="str">
        <v>有效</v>
      </c>
      <c r="S21" s="7" t="str"/>
    </row>
    <row r="22" ht="55" customHeight="1">
      <c r="A22" s="7" t="str">
        <v>CHV-0018</v>
      </c>
      <c r="B22" s="9" t="str">
        <v>CHR-0020</v>
      </c>
      <c r="C22" s="7" t="str"/>
      <c r="D22" s="7" t="str">
        <v>未明确</v>
      </c>
      <c r="E22" s="7" t="str">
        <v>未明确</v>
      </c>
      <c r="F22" s="7" t="str">
        <v>未明确</v>
      </c>
      <c r="G22" s="7" t="str">
        <v>未明确</v>
      </c>
      <c r="H22" s="7" t="str">
        <v>待设定的基准外观；非已确认定妆</v>
      </c>
      <c r="I22" s="7" t="str">
        <v>清单范围：第34—41集；逐场待补</v>
      </c>
      <c r="J22" s="7" t="str">
        <v>补充参考</v>
      </c>
      <c r="K22" s="7" t="str">
        <v>用户精简清单 T5R003</v>
      </c>
      <c r="L22" s="7" t="str">
        <v>私人会所；门外＋内部大厅；中心主位、两侧大佬及保镖的位置不能因反打而颠倒</v>
      </c>
      <c r="M22" s="7" t="str">
        <v>原文明示</v>
      </c>
      <c r="N22" s="7" t="str">
        <v>不适用</v>
      </c>
      <c r="O22" s="7" t="str">
        <v>候选：先确定基准外观；不依据身份标签擅定服装、年龄和伤势。</v>
      </c>
      <c r="P22" s="7" t="str"/>
      <c r="Q22" s="7" t="str"/>
      <c r="R22" s="7" t="str">
        <v>有效</v>
      </c>
      <c r="S22" s="7" t="str"/>
    </row>
    <row r="23" ht="55" customHeight="1">
      <c r="A23" s="7" t="str">
        <v>CHV-0019</v>
      </c>
      <c r="B23" s="9" t="str">
        <v>CHR-0001</v>
      </c>
      <c r="C23" s="9" t="str">
        <v>CHV-0001</v>
      </c>
      <c r="D23" s="7" t="str">
        <v>未明确</v>
      </c>
      <c r="E23" s="7" t="str">
        <v>未明确</v>
      </c>
      <c r="F23" s="7" t="str">
        <v>少年</v>
      </c>
      <c r="G23" s="7" t="str">
        <v>少年闪回外观；确切年龄与成年关联造型待核</v>
      </c>
      <c r="H23" s="7" t="str">
        <v>少年闪回外观；确切年龄与成年关联造型待核</v>
      </c>
      <c r="I23" s="7" t="str">
        <v>第4集闪回；逐场待核</v>
      </c>
      <c r="J23" s="7" t="str">
        <v>补充参考</v>
      </c>
      <c r="K23" s="7" t="str">
        <v>用户精简清单 T3R004</v>
      </c>
      <c r="L23" s="7" t="str">
        <v>S10 少年江辰的家；第4集闪回；书房与密室必须通过墙上观察孔关联，不能分成无关场景</v>
      </c>
      <c r="M23" s="7" t="str">
        <v>原文明示</v>
      </c>
      <c r="N23" s="7" t="str">
        <v>不适用</v>
      </c>
      <c r="O23" s="7" t="str">
        <v>需原剧分场复核，清单不能证明完整性</v>
      </c>
      <c r="P23" s="7" t="str"/>
      <c r="Q23" s="7" t="str"/>
      <c r="R23" s="7" t="str">
        <v>有效</v>
      </c>
      <c r="S23" s="7" t="str"/>
    </row>
    <row r="24" ht="55" customHeight="1">
      <c r="A24" s="7" t="str">
        <v>CHV-0020</v>
      </c>
      <c r="B24" s="9" t="str">
        <v>CHR-0001</v>
      </c>
      <c r="C24" s="9" t="str">
        <v>CHV-0001</v>
      </c>
      <c r="D24" s="7" t="str">
        <v>未明确</v>
      </c>
      <c r="E24" s="7" t="str">
        <v>未明确</v>
      </c>
      <c r="F24" s="7" t="str">
        <v>未明确</v>
      </c>
      <c r="G24" s="7" t="str">
        <v>孤狼银色半面具佩戴、摘下；脸型保持同一身份</v>
      </c>
      <c r="H24" s="7" t="str">
        <v>孤狼银色半面具佩戴、摘下；脸型保持同一身份</v>
      </c>
      <c r="I24" s="7" t="str">
        <v>第1集及后续未明确；逐场待核</v>
      </c>
      <c r="J24" s="7" t="str">
        <v>变化过程设计</v>
      </c>
      <c r="K24" s="7" t="str">
        <v>用户精简清单 T8R003</v>
      </c>
      <c r="L24" s="7" t="str">
        <v>P02 孤狼银色半面具；第1集；必须独立；佩戴、侧面、摘下面具，江辰脸型不变。</v>
      </c>
      <c r="M24" s="7" t="str">
        <v>原文明示</v>
      </c>
      <c r="N24" s="7" t="str">
        <v>不适用</v>
      </c>
      <c r="O24" s="7" t="str">
        <v>需原剧分场复核，清单不能证明完整性</v>
      </c>
      <c r="P24" s="7" t="str"/>
      <c r="Q24" s="7" t="str"/>
      <c r="R24" s="7" t="str">
        <v>有效</v>
      </c>
      <c r="S24" s="7" t="str"/>
    </row>
    <row r="25" ht="48" customHeight="1">
      <c r="A25" s="7" t="str">
        <v>CHV-0021</v>
      </c>
      <c r="B25" s="9" t="str">
        <v>CHR-0003</v>
      </c>
      <c r="C25" s="9" t="str">
        <v>CHV-0003</v>
      </c>
      <c r="D25" s="7" t="str">
        <v>未明确</v>
      </c>
      <c r="E25" s="7" t="str">
        <v>未明确</v>
      </c>
      <c r="F25" s="7" t="str">
        <v>未明确</v>
      </c>
      <c r="G25" s="7" t="str">
        <v>受伤妆造；毛巾、冰袋互动，部位程度未知</v>
      </c>
      <c r="H25" s="7" t="str">
        <v>受伤妆造；毛巾、冰袋互动，部位程度未知</v>
      </c>
      <c r="I25" s="7" t="str">
        <v>第6集；逐场待核</v>
      </c>
      <c r="J25" s="7" t="str">
        <v>补充参考</v>
      </c>
      <c r="K25" s="7" t="str">
        <v>用户精简清单 T7R004</v>
      </c>
      <c r="L25" s="7" t="str">
        <v>毛巾、冰袋；第6集；随张阎王受伤妆造生成</v>
      </c>
      <c r="M25" s="7" t="str">
        <v>原文明示</v>
      </c>
      <c r="N25" s="7" t="str">
        <v>不适用</v>
      </c>
      <c r="O25" s="7" t="str">
        <v>需原剧分场复核，清单不能证明完整性</v>
      </c>
      <c r="P25" s="7" t="str"/>
      <c r="Q25" s="7" t="str"/>
      <c r="R25" s="7" t="str">
        <v>有效</v>
      </c>
      <c r="S25" s="7" t="str"/>
    </row>
    <row r="26" ht="85" customHeight="1">
      <c r="A26" s="7" t="str">
        <v>CHV-0022</v>
      </c>
      <c r="B26" s="9" t="str">
        <v>CHR-0002</v>
      </c>
      <c r="C26" s="9" t="str">
        <v>CHV-0002</v>
      </c>
      <c r="D26" s="7" t="str">
        <v>未明确</v>
      </c>
      <c r="E26" s="7" t="str">
        <v>未明确</v>
      </c>
      <c r="F26" s="7" t="str">
        <v>未明确</v>
      </c>
      <c r="G26" s="7" t="str">
        <v>阴玉身体融合/能量表现；不表现为随手取出的玉佩</v>
      </c>
      <c r="H26" s="7" t="str">
        <v>阴玉身体融合/能量表现；不表现为随手取出的玉佩</v>
      </c>
      <c r="I26" s="7" t="str">
        <v>起止未明确；逐场待核</v>
      </c>
      <c r="J26" s="7" t="str">
        <v>变化过程设计</v>
      </c>
      <c r="K26" s="7" t="str">
        <v>用户精简清单 T8R002</v>
      </c>
      <c r="L26" s="7" t="str">
        <v>P01 西王母玉（阴/阳）；第1集提及；必须独立；阴玉与苏小菲身体融合；阳玉关联江辰。分实物历史状态和身体能量表现，不默认是可随手取出的玉佩。</v>
      </c>
      <c r="M26" s="7" t="str">
        <v>原文明示</v>
      </c>
      <c r="N26" s="7" t="str">
        <v>不适用</v>
      </c>
      <c r="O26" s="7" t="str">
        <v>需原剧分场复核，清单不能证明完整性</v>
      </c>
      <c r="P26" s="7" t="str"/>
      <c r="Q26" s="7" t="str"/>
      <c r="R26" s="7" t="str">
        <v>有效</v>
      </c>
      <c r="S26" s="7" t="str"/>
    </row>
  </sheetData>
  <conditionalFormatting sqref="N5:N126">
    <cfRule type="containsText" dxfId="2" priority="1" operator="containsText" text="待确认"/>
  </conditionalFormatting>
  <conditionalFormatting sqref="O5:O126">
    <cfRule type="expression" dxfId="3" priority="2">
      <formula>AND(O5&lt;&gt;"",O5&lt;&gt;"无新增缺口")</formula>
    </cfRule>
  </conditionalFormatting>
  <dataValidations count="4">
    <dataValidation type="list" sqref="J5:J126">
      <formula1>"沿用基准,补充参考,独立设计,变化过程设计,待判断,不要求可见设计"</formula1>
    </dataValidation>
    <dataValidation type="list" sqref="M5:M126">
      <formula1>"原文明示,合理推断,设计候选"</formula1>
    </dataValidation>
    <dataValidation type="list" sqref="N5:N126">
      <formula1>"待确认,已确认,不适用"</formula1>
    </dataValidation>
    <dataValidation type="list" sqref="R5:R126">
      <formula1>"有效,已合并,已停用"</formula1>
    </dataValidation>
  </dataValidations>
  <hyperlinks>
    <hyperlink ref="C2" location="'使用说明与总览'!A1"/>
    <hyperlink ref="B5" location="asset_CHR_0001"/>
    <hyperlink ref="B6" location="asset_CHR_0002"/>
    <hyperlink ref="B7" location="asset_CHR_0003"/>
    <hyperlink ref="B8" location="asset_CHR_0004"/>
    <hyperlink ref="B9" location="asset_CHR_0005"/>
    <hyperlink ref="B10" location="asset_CHR_0006"/>
    <hyperlink ref="B11" location="asset_CHR_0007"/>
    <hyperlink ref="B12" location="asset_CHR_0008"/>
    <hyperlink ref="B13" location="asset_CHR_0011"/>
    <hyperlink ref="B14" location="asset_CHR_0012"/>
    <hyperlink ref="B15" location="asset_CHR_0013"/>
    <hyperlink ref="B16" location="asset_CHR_0014"/>
    <hyperlink ref="B17" location="asset_CHR_0015"/>
    <hyperlink ref="B18" location="asset_CHR_0016"/>
    <hyperlink ref="B19" location="asset_CHR_0017"/>
    <hyperlink ref="B20" location="asset_CHR_0018"/>
    <hyperlink ref="B21" location="asset_CHR_0019"/>
    <hyperlink ref="B22" location="asset_CHR_0020"/>
    <hyperlink ref="B23" location="asset_CHR_0001"/>
    <hyperlink ref="C23" location="asset_CHV_0001"/>
    <hyperlink ref="B24" location="asset_CHR_0001"/>
    <hyperlink ref="C24" location="asset_CHV_0001"/>
    <hyperlink ref="B25" location="asset_CHR_0003"/>
    <hyperlink ref="C25" location="asset_CHV_0003"/>
    <hyperlink ref="B26" location="asset_CHR_0002"/>
    <hyperlink ref="C26" location="asset_CHV_0002"/>
  </hyperlinks>
  <pageMargins left="0.7" right="0.7" top="0.75" bottom="0.75" header="0.3" footer="0.3"/>
  <tableParts count="1">
    <tablePart r:id="R3647e2cb95d945d7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22" hidden="0" customWidth="1"/>
    <col min="4" max="4" width="22" hidden="0" customWidth="1"/>
    <col min="5" max="5" width="22" hidden="0" customWidth="1"/>
    <col min="6" max="6" width="32" hidden="0" customWidth="1"/>
    <col min="7" max="7" width="32" hidden="0" customWidth="1"/>
    <col min="8" max="8" width="22" hidden="0" customWidth="1"/>
    <col min="9" max="9" width="32" hidden="0" customWidth="1"/>
    <col min="10" max="10" width="22" hidden="0" customWidth="1"/>
    <col min="11" max="11" width="22" hidden="0" customWidth="1"/>
    <col min="12" max="12" width="32" hidden="0" customWidth="1"/>
    <col min="13" max="13" width="32" hidden="0" customWidth="1"/>
    <col min="14" max="14" width="32" hidden="0" customWidth="1"/>
    <col min="15" max="15" width="22" hidden="0" customWidth="1"/>
    <col min="16" max="16" width="2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tr">
        <v>场景基础</v>
      </c>
      <c r="B2" s="1"/>
      <c r="C2" s="1" t="str">
        <v>返回总览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38" customHeight="1">
      <c r="A4" s="5" t="str">
        <v>场景编号</v>
      </c>
      <c r="B4" s="5" t="str">
        <v>名称</v>
      </c>
      <c r="C4" s="5" t="str">
        <v>上级地点</v>
      </c>
      <c r="D4" s="5" t="str">
        <v>内外景</v>
      </c>
      <c r="E4" s="5" t="str">
        <v>空间特征</v>
      </c>
      <c r="F4" s="5" t="str">
        <v>家具陈设</v>
      </c>
      <c r="G4" s="5" t="str">
        <v>关键布局</v>
      </c>
      <c r="H4" s="5" t="str">
        <v>原文定位</v>
      </c>
      <c r="I4" s="5" t="str">
        <v>原文摘录</v>
      </c>
      <c r="J4" s="5" t="str">
        <v>证据性质</v>
      </c>
      <c r="K4" s="5" t="str">
        <v>确认状态</v>
      </c>
      <c r="L4" s="5" t="str">
        <v>待确认项</v>
      </c>
      <c r="M4" s="5" t="str">
        <v>用户批注</v>
      </c>
      <c r="N4" s="5" t="str">
        <v>变更说明</v>
      </c>
      <c r="O4" s="5" t="str">
        <v>记录状态</v>
      </c>
      <c r="P4" s="5" t="str">
        <v>合并至编号</v>
      </c>
    </row>
    <row r="5" ht="100" customHeight="1">
      <c r="A5" s="7" t="str">
        <v>LOC-0001</v>
      </c>
      <c r="B5" s="7" t="str">
        <v>苏家别墅·客厅/大厅</v>
      </c>
      <c r="C5" s="7" t="str">
        <v>苏家别墅｜源S01</v>
      </c>
      <c r="D5" s="7" t="str">
        <v>内</v>
      </c>
      <c r="E5" s="7" t="str">
        <v>两卧室独立；阳台能看院子；具体归属未明</v>
      </c>
      <c r="F5" s="7" t="str">
        <v>沙发、茶几、茶具、地毯、绿植</v>
      </c>
      <c r="G5" s="7" t="str">
        <v>卧室A/B是占位标识，房间所属人物未明确；阳台视线见T5R002</v>
      </c>
      <c r="H5" s="7" t="str">
        <v>用户精简清单 T2R002</v>
      </c>
      <c r="I5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5" s="7" t="str">
        <v>原文明示</v>
      </c>
      <c r="K5" s="7" t="str">
        <v>不适用</v>
      </c>
      <c r="L5" s="7" t="str">
        <v>清单明确的空间需求；尺寸、朝向及逐场连续性待补。</v>
      </c>
      <c r="M5" s="7" t="str"/>
      <c r="N5" s="7" t="str"/>
      <c r="O5" s="7" t="str">
        <v>有效</v>
      </c>
      <c r="P5" s="7" t="str"/>
    </row>
    <row r="6" ht="100" customHeight="1">
      <c r="A6" s="7" t="str">
        <v>LOC-0002</v>
      </c>
      <c r="B6" s="7" t="str">
        <v>苏家别墅·餐厅</v>
      </c>
      <c r="C6" s="7" t="str">
        <v>苏家别墅｜源S01</v>
      </c>
      <c r="D6" s="7" t="str">
        <v>内</v>
      </c>
      <c r="E6" s="7" t="str">
        <v>两卧室独立；阳台能看院子；具体归属未明</v>
      </c>
      <c r="F6" s="7" t="str">
        <v>餐桌、椅、碗筷、普通食物</v>
      </c>
      <c r="G6" s="7" t="str">
        <v>卧室A/B是占位标识，房间所属人物未明确；阳台视线见T5R002</v>
      </c>
      <c r="H6" s="7" t="str">
        <v>用户精简清单 T2R002</v>
      </c>
      <c r="I6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6" s="7" t="str">
        <v>原文明示</v>
      </c>
      <c r="K6" s="7" t="str">
        <v>不适用</v>
      </c>
      <c r="L6" s="7" t="str">
        <v>清单明确的空间需求；尺寸、朝向及逐场连续性待补。</v>
      </c>
      <c r="M6" s="7" t="str"/>
      <c r="N6" s="7" t="str"/>
      <c r="O6" s="7" t="str">
        <v>有效</v>
      </c>
      <c r="P6" s="7" t="str"/>
    </row>
    <row r="7" ht="100" customHeight="1">
      <c r="A7" s="7" t="str">
        <v>LOC-0003</v>
      </c>
      <c r="B7" s="7" t="str">
        <v>苏家别墅·书房</v>
      </c>
      <c r="C7" s="7" t="str">
        <v>苏家别墅｜源S01</v>
      </c>
      <c r="D7" s="7" t="str">
        <v>内</v>
      </c>
      <c r="E7" s="7" t="str">
        <v>两卧室独立；阳台能看院子；具体归属未明</v>
      </c>
      <c r="F7" s="7" t="str">
        <v>未明确；不擅自添加书柜具体布局</v>
      </c>
      <c r="G7" s="7" t="str">
        <v>卧室A/B是占位标识，房间所属人物未明确；阳台视线见T5R002</v>
      </c>
      <c r="H7" s="7" t="str">
        <v>用户精简清单 T2R002</v>
      </c>
      <c r="I7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7" s="7" t="str">
        <v>原文明示</v>
      </c>
      <c r="K7" s="7" t="str">
        <v>不适用</v>
      </c>
      <c r="L7" s="7" t="str">
        <v>清单明确的空间需求；尺寸、朝向及逐场连续性待补。</v>
      </c>
      <c r="M7" s="7" t="str"/>
      <c r="N7" s="7" t="str"/>
      <c r="O7" s="7" t="str">
        <v>有效</v>
      </c>
      <c r="P7" s="7" t="str"/>
    </row>
    <row r="8" ht="100" customHeight="1">
      <c r="A8" s="7" t="str">
        <v>LOC-0004</v>
      </c>
      <c r="B8" s="7" t="str">
        <v>苏家别墅·卧室A</v>
      </c>
      <c r="C8" s="7" t="str">
        <v>苏家别墅｜源S01</v>
      </c>
      <c r="D8" s="7" t="str">
        <v>内</v>
      </c>
      <c r="E8" s="7" t="str">
        <v>两卧室独立；阳台能看院子；具体归属未明</v>
      </c>
      <c r="F8" s="7" t="str">
        <v>床品、枕头、柜体、灯具</v>
      </c>
      <c r="G8" s="7" t="str">
        <v>卧室A/B是占位标识，房间所属人物未明确；阳台视线见T5R002</v>
      </c>
      <c r="H8" s="7" t="str">
        <v>用户精简清单 T2R002</v>
      </c>
      <c r="I8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8" s="7" t="str">
        <v>原文明示</v>
      </c>
      <c r="K8" s="7" t="str">
        <v>不适用</v>
      </c>
      <c r="L8" s="7" t="str">
        <v>清单明确的空间需求；尺寸、朝向及逐场连续性待补。</v>
      </c>
      <c r="M8" s="7" t="str"/>
      <c r="N8" s="7" t="str"/>
      <c r="O8" s="7" t="str">
        <v>有效</v>
      </c>
      <c r="P8" s="7" t="str"/>
    </row>
    <row r="9" ht="100" customHeight="1">
      <c r="A9" s="7" t="str">
        <v>LOC-0005</v>
      </c>
      <c r="B9" s="7" t="str">
        <v>苏家别墅·卧室B</v>
      </c>
      <c r="C9" s="7" t="str">
        <v>苏家别墅｜源S01</v>
      </c>
      <c r="D9" s="7" t="str">
        <v>内</v>
      </c>
      <c r="E9" s="7" t="str">
        <v>两卧室独立；阳台能看院子；具体归属未明</v>
      </c>
      <c r="F9" s="7" t="str">
        <v>床品、枕头、柜体、灯具</v>
      </c>
      <c r="G9" s="7" t="str">
        <v>卧室A/B是占位标识，房间所属人物未明确；阳台视线见T5R002</v>
      </c>
      <c r="H9" s="7" t="str">
        <v>用户精简清单 T2R002</v>
      </c>
      <c r="I9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9" s="7" t="str">
        <v>原文明示</v>
      </c>
      <c r="K9" s="7" t="str">
        <v>不适用</v>
      </c>
      <c r="L9" s="7" t="str">
        <v>清单明确的空间需求；尺寸、朝向及逐场连续性待补。</v>
      </c>
      <c r="M9" s="7" t="str"/>
      <c r="N9" s="7" t="str"/>
      <c r="O9" s="7" t="str">
        <v>有效</v>
      </c>
      <c r="P9" s="7" t="str"/>
    </row>
    <row r="10" ht="100" customHeight="1">
      <c r="A10" s="7" t="str">
        <v>LOC-0006</v>
      </c>
      <c r="B10" s="7" t="str">
        <v>苏家别墅·走廊楼梯</v>
      </c>
      <c r="C10" s="7" t="str">
        <v>苏家别墅｜源S01</v>
      </c>
      <c r="D10" s="7" t="str">
        <v>未明确</v>
      </c>
      <c r="E10" s="7" t="str">
        <v>两卧室独立；阳台能看院子；具体归属未明</v>
      </c>
      <c r="F10" s="7" t="str">
        <v>未明确</v>
      </c>
      <c r="G10" s="7" t="str">
        <v>卧室A/B是占位标识，房间所属人物未明确；阳台视线见T5R002</v>
      </c>
      <c r="H10" s="7" t="str">
        <v>用户精简清单 T2R002</v>
      </c>
      <c r="I10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10" s="7" t="str">
        <v>原文明示</v>
      </c>
      <c r="K10" s="7" t="str">
        <v>不适用</v>
      </c>
      <c r="L10" s="7" t="str">
        <v>清单明确的空间需求；尺寸、朝向及逐场连续性待补。</v>
      </c>
      <c r="M10" s="7" t="str"/>
      <c r="N10" s="7" t="str"/>
      <c r="O10" s="7" t="str">
        <v>有效</v>
      </c>
      <c r="P10" s="7" t="str"/>
    </row>
    <row r="11" ht="100" customHeight="1">
      <c r="A11" s="7" t="str">
        <v>LOC-0007</v>
      </c>
      <c r="B11" s="7" t="str">
        <v>苏家别墅·阳台</v>
      </c>
      <c r="C11" s="7" t="str">
        <v>苏家别墅｜源S01</v>
      </c>
      <c r="D11" s="7" t="str">
        <v>外</v>
      </c>
      <c r="E11" s="7" t="str">
        <v>两卧室独立；阳台能看院子；具体归属未明</v>
      </c>
      <c r="F11" s="7" t="str">
        <v>未明确</v>
      </c>
      <c r="G11" s="7" t="str">
        <v>卧室A/B是占位标识，房间所属人物未明确；阳台视线见T5R002</v>
      </c>
      <c r="H11" s="7" t="str">
        <v>用户精简清单 T2R002</v>
      </c>
      <c r="I11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11" s="7" t="str">
        <v>原文明示</v>
      </c>
      <c r="K11" s="7" t="str">
        <v>不适用</v>
      </c>
      <c r="L11" s="7" t="str">
        <v>清单明确的空间需求；尺寸、朝向及逐场连续性待补。</v>
      </c>
      <c r="M11" s="7" t="str"/>
      <c r="N11" s="7" t="str"/>
      <c r="O11" s="7" t="str">
        <v>有效</v>
      </c>
      <c r="P11" s="7" t="str"/>
    </row>
    <row r="12" ht="100" customHeight="1">
      <c r="A12" s="7" t="str">
        <v>LOC-0008</v>
      </c>
      <c r="B12" s="7" t="str">
        <v>苏家别墅·院子</v>
      </c>
      <c r="C12" s="7" t="str">
        <v>苏家别墅｜源S01</v>
      </c>
      <c r="D12" s="7" t="str">
        <v>外</v>
      </c>
      <c r="E12" s="7" t="str">
        <v>两卧室独立；阳台能看院子；具体归属未明</v>
      </c>
      <c r="F12" s="7" t="str">
        <v>绿植；订婚版另记</v>
      </c>
      <c r="G12" s="7" t="str">
        <v>卧室A/B是占位标识，房间所属人物未明确；阳台视线见T5R002</v>
      </c>
      <c r="H12" s="7" t="str">
        <v>用户精简清单 T2R002</v>
      </c>
      <c r="I12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12" s="7" t="str">
        <v>原文明示</v>
      </c>
      <c r="K12" s="7" t="str">
        <v>不适用</v>
      </c>
      <c r="L12" s="7" t="str">
        <v>清单明确的空间需求；尺寸、朝向及逐场连续性待补。</v>
      </c>
      <c r="M12" s="7" t="str"/>
      <c r="N12" s="7" t="str"/>
      <c r="O12" s="7" t="str">
        <v>有效</v>
      </c>
      <c r="P12" s="7" t="str"/>
    </row>
    <row r="13" ht="100" customHeight="1">
      <c r="A13" s="7" t="str">
        <v>LOC-0009</v>
      </c>
      <c r="B13" s="7" t="str">
        <v>苏家别墅·大门</v>
      </c>
      <c r="C13" s="7" t="str">
        <v>苏家别墅｜源S01</v>
      </c>
      <c r="D13" s="7" t="str">
        <v>未明确</v>
      </c>
      <c r="E13" s="7" t="str">
        <v>两卧室独立；阳台能看院子；具体归属未明</v>
      </c>
      <c r="F13" s="7" t="str">
        <v>未明确</v>
      </c>
      <c r="G13" s="7" t="str">
        <v>卧室A/B是占位标识，房间所属人物未明确；阳台视线见T5R002</v>
      </c>
      <c r="H13" s="7" t="str">
        <v>用户精简清单 T2R002</v>
      </c>
      <c r="I13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J13" s="7" t="str">
        <v>原文明示</v>
      </c>
      <c r="K13" s="7" t="str">
        <v>不适用</v>
      </c>
      <c r="L13" s="7" t="str">
        <v>清单明确的空间需求；尺寸、朝向及逐场连续性待补。</v>
      </c>
      <c r="M13" s="7" t="str"/>
      <c r="N13" s="7" t="str"/>
      <c r="O13" s="7" t="str">
        <v>有效</v>
      </c>
      <c r="P13" s="7" t="str"/>
    </row>
    <row r="14" ht="70" customHeight="1">
      <c r="A14" s="7" t="str">
        <v>LOC-0010</v>
      </c>
      <c r="B14" s="7" t="str">
        <v>大学校园·大学门口</v>
      </c>
      <c r="C14" s="7" t="str">
        <v>大学校园｜源S02</v>
      </c>
      <c r="D14" s="7" t="str">
        <v>未明确</v>
      </c>
      <c r="E14" s="7" t="str">
        <v>区位关系待核</v>
      </c>
      <c r="F14" s="7" t="str">
        <v>长椅、宣传栏；食堂桌椅餐具按区域配置，学生另列角色</v>
      </c>
      <c r="G14" s="7" t="str">
        <v>未明确</v>
      </c>
      <c r="H14" s="7" t="str">
        <v>用户精简清单 T2R003</v>
      </c>
      <c r="I14" s="7" t="str">
        <v>S02 大学校园；第9集起；校园冲突延至22集；大学门口、教学楼前、公共区、食堂；校园长椅、宣传栏、食堂桌椅、餐具、学生背景</v>
      </c>
      <c r="J14" s="7" t="str">
        <v>原文明示</v>
      </c>
      <c r="K14" s="7" t="str">
        <v>不适用</v>
      </c>
      <c r="L14" s="7" t="str">
        <v>清单明确的空间需求；尺寸、朝向及逐场连续性待补。</v>
      </c>
      <c r="M14" s="7" t="str"/>
      <c r="N14" s="7" t="str"/>
      <c r="O14" s="7" t="str">
        <v>有效</v>
      </c>
      <c r="P14" s="7" t="str"/>
    </row>
    <row r="15" ht="70" customHeight="1">
      <c r="A15" s="7" t="str">
        <v>LOC-0011</v>
      </c>
      <c r="B15" s="7" t="str">
        <v>大学校园·教学楼前</v>
      </c>
      <c r="C15" s="7" t="str">
        <v>大学校园｜源S02</v>
      </c>
      <c r="D15" s="7" t="str">
        <v>未明确</v>
      </c>
      <c r="E15" s="7" t="str">
        <v>区位关系待核</v>
      </c>
      <c r="F15" s="7" t="str">
        <v>长椅、宣传栏；食堂桌椅餐具按区域配置，学生另列角色</v>
      </c>
      <c r="G15" s="7" t="str">
        <v>未明确</v>
      </c>
      <c r="H15" s="7" t="str">
        <v>用户精简清单 T2R003</v>
      </c>
      <c r="I15" s="7" t="str">
        <v>S02 大学校园；第9集起；校园冲突延至22集；大学门口、教学楼前、公共区、食堂；校园长椅、宣传栏、食堂桌椅、餐具、学生背景</v>
      </c>
      <c r="J15" s="7" t="str">
        <v>原文明示</v>
      </c>
      <c r="K15" s="7" t="str">
        <v>不适用</v>
      </c>
      <c r="L15" s="7" t="str">
        <v>清单明确的空间需求；尺寸、朝向及逐场连续性待补。</v>
      </c>
      <c r="M15" s="7" t="str"/>
      <c r="N15" s="7" t="str"/>
      <c r="O15" s="7" t="str">
        <v>有效</v>
      </c>
      <c r="P15" s="7" t="str"/>
    </row>
    <row r="16" ht="70" customHeight="1">
      <c r="A16" s="7" t="str">
        <v>LOC-0012</v>
      </c>
      <c r="B16" s="7" t="str">
        <v>大学校园·公共区</v>
      </c>
      <c r="C16" s="7" t="str">
        <v>大学校园｜源S02</v>
      </c>
      <c r="D16" s="7" t="str">
        <v>未明确</v>
      </c>
      <c r="E16" s="7" t="str">
        <v>区位关系待核</v>
      </c>
      <c r="F16" s="7" t="str">
        <v>长椅、宣传栏；食堂桌椅餐具按区域配置，学生另列角色</v>
      </c>
      <c r="G16" s="7" t="str">
        <v>未明确</v>
      </c>
      <c r="H16" s="7" t="str">
        <v>用户精简清单 T2R003</v>
      </c>
      <c r="I16" s="7" t="str">
        <v>S02 大学校园；第9集起；校园冲突延至22集；大学门口、教学楼前、公共区、食堂；校园长椅、宣传栏、食堂桌椅、餐具、学生背景</v>
      </c>
      <c r="J16" s="7" t="str">
        <v>原文明示</v>
      </c>
      <c r="K16" s="7" t="str">
        <v>不适用</v>
      </c>
      <c r="L16" s="7" t="str">
        <v>清单明确的空间需求；尺寸、朝向及逐场连续性待补。</v>
      </c>
      <c r="M16" s="7" t="str"/>
      <c r="N16" s="7" t="str"/>
      <c r="O16" s="7" t="str">
        <v>有效</v>
      </c>
      <c r="P16" s="7" t="str"/>
    </row>
    <row r="17" ht="70" customHeight="1">
      <c r="A17" s="7" t="str">
        <v>LOC-0013</v>
      </c>
      <c r="B17" s="7" t="str">
        <v>大学校园·食堂</v>
      </c>
      <c r="C17" s="7" t="str">
        <v>大学校园｜源S02</v>
      </c>
      <c r="D17" s="7" t="str">
        <v>内</v>
      </c>
      <c r="E17" s="7" t="str">
        <v>区位关系待核</v>
      </c>
      <c r="F17" s="7" t="str">
        <v>长椅、宣传栏；食堂桌椅餐具按区域配置，学生另列角色</v>
      </c>
      <c r="G17" s="7" t="str">
        <v>未明确</v>
      </c>
      <c r="H17" s="7" t="str">
        <v>用户精简清单 T2R003</v>
      </c>
      <c r="I17" s="7" t="str">
        <v>S02 大学校园；第9集起；校园冲突延至22集；大学门口、教学楼前、公共区、食堂；校园长椅、宣传栏、食堂桌椅、餐具、学生背景</v>
      </c>
      <c r="J17" s="7" t="str">
        <v>原文明示</v>
      </c>
      <c r="K17" s="7" t="str">
        <v>不适用</v>
      </c>
      <c r="L17" s="7" t="str">
        <v>清单明确的空间需求；尺寸、朝向及逐场连续性待补。</v>
      </c>
      <c r="M17" s="7" t="str"/>
      <c r="N17" s="7" t="str"/>
      <c r="O17" s="7" t="str">
        <v>有效</v>
      </c>
      <c r="P17" s="7" t="str"/>
    </row>
    <row r="18" ht="70" customHeight="1">
      <c r="A18" s="7" t="str">
        <v>LOC-0014</v>
      </c>
      <c r="B18" s="7" t="str">
        <v>国外绑匪基地·楼顶</v>
      </c>
      <c r="C18" s="7" t="str">
        <v>国外绑匪基地｜源S03</v>
      </c>
      <c r="D18" s="7" t="str">
        <v>外</v>
      </c>
      <c r="E18" s="7" t="str">
        <v>与地面基地有俯瞰/落地关系，见T5R005</v>
      </c>
      <c r="F18" s="7" t="str">
        <v>具体楼顶陈设未明确</v>
      </c>
      <c r="G18" s="7" t="str">
        <v>未明确</v>
      </c>
      <c r="H18" s="7" t="str">
        <v>用户精简清单 T2R004</v>
      </c>
      <c r="I18" s="7" t="str">
        <v>S03 国外绑匪基地；第1集；楼顶、地面活动区、绑架位置、撤离区域；烧烤架、桌椅、柱子、酒瓶、地面杂物</v>
      </c>
      <c r="J18" s="7" t="str">
        <v>原文明示</v>
      </c>
      <c r="K18" s="7" t="str">
        <v>不适用</v>
      </c>
      <c r="L18" s="7" t="str">
        <v>清单明确的空间需求；尺寸、朝向及逐场连续性待补。</v>
      </c>
      <c r="M18" s="7" t="str"/>
      <c r="N18" s="7" t="str"/>
      <c r="O18" s="7" t="str">
        <v>有效</v>
      </c>
      <c r="P18" s="7" t="str"/>
    </row>
    <row r="19" ht="70" customHeight="1">
      <c r="A19" s="7" t="str">
        <v>LOC-0015</v>
      </c>
      <c r="B19" s="7" t="str">
        <v>国外绑匪基地·地面活动区</v>
      </c>
      <c r="C19" s="7" t="str">
        <v>国外绑匪基地｜源S03</v>
      </c>
      <c r="D19" s="7" t="str">
        <v>未明确</v>
      </c>
      <c r="E19" s="7" t="str">
        <v>含绑架位置和撤离区域；是否另室未明</v>
      </c>
      <c r="F19" s="7" t="str">
        <v>烧烤架、桌椅、柱子、酒瓶、食物、杂物</v>
      </c>
      <c r="G19" s="7" t="str">
        <v>与楼顶、包围方向连续；不擅定绑架区独立房间</v>
      </c>
      <c r="H19" s="7" t="str">
        <v>用户精简清单 T2R004</v>
      </c>
      <c r="I19" s="7" t="str">
        <v>S03 国外绑匪基地；第1集；楼顶、地面活动区、绑架位置、撤离区域；烧烤架、桌椅、柱子、酒瓶、地面杂物</v>
      </c>
      <c r="J19" s="7" t="str">
        <v>原文明示</v>
      </c>
      <c r="K19" s="7" t="str">
        <v>不适用</v>
      </c>
      <c r="L19" s="7" t="str">
        <v>清单明确的空间需求；尺寸、朝向及逐场连续性待补。</v>
      </c>
      <c r="M19" s="7" t="str"/>
      <c r="N19" s="7" t="str"/>
      <c r="O19" s="7" t="str">
        <v>有效</v>
      </c>
      <c r="P19" s="7" t="str"/>
    </row>
    <row r="20" ht="70" customHeight="1">
      <c r="A20" s="7" t="str">
        <v>LOC-0016</v>
      </c>
      <c r="B20" s="7" t="str">
        <v>烂尾楼·外部</v>
      </c>
      <c r="C20" s="7" t="str">
        <v>烂尾楼｜源S04</v>
      </c>
      <c r="D20" s="7" t="str">
        <v>外</v>
      </c>
      <c r="E20" s="7" t="str">
        <v>与废弃工厂不同地点，不能共用同一建筑</v>
      </c>
      <c r="F20" s="7" t="str">
        <v>水泥柱、钢筋、建筑废料、破损墙面；具体归区待核</v>
      </c>
      <c r="G20" s="7" t="str">
        <v>未明确</v>
      </c>
      <c r="H20" s="7" t="str">
        <v>用户精简清单 T2R005</v>
      </c>
      <c r="I20" s="7" t="str">
        <v>S04 烂尾楼；第10集起至15集；外部、主要交战区域、顶楼审问区域；水泥柱、钢筋、建筑废料、破损墙面</v>
      </c>
      <c r="J20" s="7" t="str">
        <v>原文明示</v>
      </c>
      <c r="K20" s="7" t="str">
        <v>不适用</v>
      </c>
      <c r="L20" s="7" t="str">
        <v>清单明确的空间需求；尺寸、朝向及逐场连续性待补。</v>
      </c>
      <c r="M20" s="7" t="str"/>
      <c r="N20" s="7" t="str"/>
      <c r="O20" s="7" t="str">
        <v>有效</v>
      </c>
      <c r="P20" s="7" t="str"/>
    </row>
    <row r="21" ht="70" customHeight="1">
      <c r="A21" s="7" t="str">
        <v>LOC-0017</v>
      </c>
      <c r="B21" s="7" t="str">
        <v>烂尾楼·主要交战区域</v>
      </c>
      <c r="C21" s="7" t="str">
        <v>烂尾楼｜源S04</v>
      </c>
      <c r="D21" s="7" t="str">
        <v>未明确</v>
      </c>
      <c r="E21" s="7" t="str">
        <v>与废弃工厂不同地点，不能共用同一建筑</v>
      </c>
      <c r="F21" s="7" t="str">
        <v>水泥柱、钢筋、建筑废料、破损墙面；具体归区待核</v>
      </c>
      <c r="G21" s="7" t="str">
        <v>未明确</v>
      </c>
      <c r="H21" s="7" t="str">
        <v>用户精简清单 T2R005</v>
      </c>
      <c r="I21" s="7" t="str">
        <v>S04 烂尾楼；第10集起至15集；外部、主要交战区域、顶楼审问区域；水泥柱、钢筋、建筑废料、破损墙面</v>
      </c>
      <c r="J21" s="7" t="str">
        <v>原文明示</v>
      </c>
      <c r="K21" s="7" t="str">
        <v>不适用</v>
      </c>
      <c r="L21" s="7" t="str">
        <v>清单明确的空间需求；尺寸、朝向及逐场连续性待补。</v>
      </c>
      <c r="M21" s="7" t="str"/>
      <c r="N21" s="7" t="str"/>
      <c r="O21" s="7" t="str">
        <v>有效</v>
      </c>
      <c r="P21" s="7" t="str"/>
    </row>
    <row r="22" ht="70" customHeight="1">
      <c r="A22" s="7" t="str">
        <v>LOC-0018</v>
      </c>
      <c r="B22" s="7" t="str">
        <v>烂尾楼·顶楼审问区域</v>
      </c>
      <c r="C22" s="7" t="str">
        <v>烂尾楼｜源S04</v>
      </c>
      <c r="D22" s="7" t="str">
        <v>未明确</v>
      </c>
      <c r="E22" s="7" t="str">
        <v>与废弃工厂不同地点，不能共用同一建筑</v>
      </c>
      <c r="F22" s="7" t="str">
        <v>水泥柱、钢筋、建筑废料、破损墙面；具体归区待核</v>
      </c>
      <c r="G22" s="7" t="str">
        <v>未明确</v>
      </c>
      <c r="H22" s="7" t="str">
        <v>用户精简清单 T2R005</v>
      </c>
      <c r="I22" s="7" t="str">
        <v>S04 烂尾楼；第10集起至15集；外部、主要交战区域、顶楼审问区域；水泥柱、钢筋、建筑废料、破损墙面</v>
      </c>
      <c r="J22" s="7" t="str">
        <v>原文明示</v>
      </c>
      <c r="K22" s="7" t="str">
        <v>不适用</v>
      </c>
      <c r="L22" s="7" t="str">
        <v>清单明确的空间需求；尺寸、朝向及逐场连续性待补。</v>
      </c>
      <c r="M22" s="7" t="str"/>
      <c r="N22" s="7" t="str"/>
      <c r="O22" s="7" t="str">
        <v>有效</v>
      </c>
      <c r="P22" s="7" t="str"/>
    </row>
    <row r="23" ht="70" customHeight="1">
      <c r="A23" s="7" t="str">
        <v>LOC-0019</v>
      </c>
      <c r="B23" s="7" t="str">
        <v>废弃工厂·大门</v>
      </c>
      <c r="C23" s="7" t="str">
        <v>废弃工厂｜源S05</v>
      </c>
      <c r="D23" s="7" t="str">
        <v>未明确</v>
      </c>
      <c r="E23" s="7" t="str">
        <v>大厅含废料堆与主打斗空地，边界待核</v>
      </c>
      <c r="F23" s="7" t="str">
        <v>旧机器、工业架、废料、散落物料</v>
      </c>
      <c r="G23" s="7" t="str">
        <v>未明确</v>
      </c>
      <c r="H23" s="7" t="str">
        <v>用户精简清单 T2R006</v>
      </c>
      <c r="I23" s="7" t="str">
        <v>S05 废弃工厂；第23集起至27集；大门、厂房大厅、废料堆、主打斗空地；旧机器、工业架、废料、散落物料</v>
      </c>
      <c r="J23" s="7" t="str">
        <v>原文明示</v>
      </c>
      <c r="K23" s="7" t="str">
        <v>不适用</v>
      </c>
      <c r="L23" s="7" t="str">
        <v>清单明确的空间需求；尺寸、朝向及逐场连续性待补。</v>
      </c>
      <c r="M23" s="7" t="str"/>
      <c r="N23" s="7" t="str"/>
      <c r="O23" s="7" t="str">
        <v>有效</v>
      </c>
      <c r="P23" s="7" t="str"/>
    </row>
    <row r="24" ht="70" customHeight="1">
      <c r="A24" s="7" t="str">
        <v>LOC-0020</v>
      </c>
      <c r="B24" s="7" t="str">
        <v>废弃工厂·厂房大厅</v>
      </c>
      <c r="C24" s="7" t="str">
        <v>废弃工厂｜源S05</v>
      </c>
      <c r="D24" s="7" t="str">
        <v>未明确</v>
      </c>
      <c r="E24" s="7" t="str">
        <v>大厅含废料堆与主打斗空地，边界待核</v>
      </c>
      <c r="F24" s="7" t="str">
        <v>旧机器、工业架、废料、散落物料</v>
      </c>
      <c r="G24" s="7" t="str">
        <v>未明确</v>
      </c>
      <c r="H24" s="7" t="str">
        <v>用户精简清单 T2R006</v>
      </c>
      <c r="I24" s="7" t="str">
        <v>S05 废弃工厂；第23集起至27集；大门、厂房大厅、废料堆、主打斗空地；旧机器、工业架、废料、散落物料</v>
      </c>
      <c r="J24" s="7" t="str">
        <v>原文明示</v>
      </c>
      <c r="K24" s="7" t="str">
        <v>不适用</v>
      </c>
      <c r="L24" s="7" t="str">
        <v>清单明确的空间需求；尺寸、朝向及逐场连续性待补。</v>
      </c>
      <c r="M24" s="7" t="str"/>
      <c r="N24" s="7" t="str"/>
      <c r="O24" s="7" t="str">
        <v>有效</v>
      </c>
      <c r="P24" s="7" t="str"/>
    </row>
    <row r="25" ht="70" customHeight="1">
      <c r="A25" s="7" t="str">
        <v>LOC-0021</v>
      </c>
      <c r="B25" s="7" t="str">
        <v>私人会所·门外</v>
      </c>
      <c r="C25" s="7" t="str">
        <v>私人会所｜源S06</v>
      </c>
      <c r="D25" s="7" t="str">
        <v>外</v>
      </c>
      <c r="E25" s="7" t="str">
        <v>中心首位、两侧座席、出入口需保持真实关系</v>
      </c>
      <c r="F25" s="7" t="str">
        <v>桌椅、茶桌、主位座椅、装饰和照明</v>
      </c>
      <c r="G25" s="7" t="str">
        <v>反打不能颠倒大佬与保镖左右关系</v>
      </c>
      <c r="H25" s="7" t="str">
        <v>用户精简清单 T2R007</v>
      </c>
      <c r="I25" s="7" t="str">
        <v>S06 私人会所；第34集起至41集；门外、内部大厅、中央首位、两侧座席、出入口；会所桌椅、茶桌、主位座椅、装饰和照明</v>
      </c>
      <c r="J25" s="7" t="str">
        <v>原文明示</v>
      </c>
      <c r="K25" s="7" t="str">
        <v>不适用</v>
      </c>
      <c r="L25" s="7" t="str">
        <v>清单明确的空间需求；尺寸、朝向及逐场连续性待补。</v>
      </c>
      <c r="M25" s="7" t="str"/>
      <c r="N25" s="7" t="str"/>
      <c r="O25" s="7" t="str">
        <v>有效</v>
      </c>
      <c r="P25" s="7" t="str"/>
    </row>
    <row r="26" ht="70" customHeight="1">
      <c r="A26" s="7" t="str">
        <v>LOC-0022</v>
      </c>
      <c r="B26" s="7" t="str">
        <v>私人会所·内部大厅</v>
      </c>
      <c r="C26" s="7" t="str">
        <v>私人会所｜源S06</v>
      </c>
      <c r="D26" s="7" t="str">
        <v>内</v>
      </c>
      <c r="E26" s="7" t="str">
        <v>中心首位、两侧座席、出入口需保持真实关系</v>
      </c>
      <c r="F26" s="7" t="str">
        <v>桌椅、茶桌、主位座椅、装饰和照明</v>
      </c>
      <c r="G26" s="7" t="str">
        <v>反打不能颠倒大佬与保镖左右关系</v>
      </c>
      <c r="H26" s="7" t="str">
        <v>用户精简清单 T2R007</v>
      </c>
      <c r="I26" s="7" t="str">
        <v>S06 私人会所；第34集起至41集；门外、内部大厅、中央首位、两侧座席、出入口；会所桌椅、茶桌、主位座椅、装饰和照明</v>
      </c>
      <c r="J26" s="7" t="str">
        <v>原文明示</v>
      </c>
      <c r="K26" s="7" t="str">
        <v>不适用</v>
      </c>
      <c r="L26" s="7" t="str">
        <v>清单明确的空间需求；尺寸、朝向及逐场连续性待补。</v>
      </c>
      <c r="M26" s="7" t="str"/>
      <c r="N26" s="7" t="str"/>
      <c r="O26" s="7" t="str">
        <v>有效</v>
      </c>
      <c r="P26" s="7" t="str"/>
    </row>
    <row r="27" ht="70" customHeight="1">
      <c r="A27" s="7" t="str">
        <v>LOC-0023</v>
      </c>
      <c r="B27" s="7" t="str">
        <v>裁决殿·内殿</v>
      </c>
      <c r="C27" s="7" t="str">
        <v>裁决殿｜源S07</v>
      </c>
      <c r="D27" s="7" t="str">
        <v>内</v>
      </c>
      <c r="E27" s="7" t="str">
        <v>高台、台阶、两侧门为部件，非三个新房间</v>
      </c>
      <c r="F27" s="7" t="str">
        <v>石柱、固定台座、座椅、灯具、纹饰</v>
      </c>
      <c r="G27" s="7" t="str">
        <v>进出动线与飞身落点连续</v>
      </c>
      <c r="H27" s="7" t="str">
        <v>用户精简清单 T2R008</v>
      </c>
      <c r="I27" s="7" t="str">
        <v>S07 裁决殿；第42集起至51集；大殿、裁决高台、台阶、两侧门、殿外；石柱、固定台座、座椅、灯具、殿内纹饰</v>
      </c>
      <c r="J27" s="7" t="str">
        <v>原文明示</v>
      </c>
      <c r="K27" s="7" t="str">
        <v>不适用</v>
      </c>
      <c r="L27" s="7" t="str">
        <v>清单明确的空间需求；尺寸、朝向及逐场连续性待补。</v>
      </c>
      <c r="M27" s="7" t="str"/>
      <c r="N27" s="7" t="str"/>
      <c r="O27" s="7" t="str">
        <v>有效</v>
      </c>
      <c r="P27" s="7" t="str"/>
    </row>
    <row r="28" ht="70" customHeight="1">
      <c r="A28" s="7" t="str">
        <v>LOC-0024</v>
      </c>
      <c r="B28" s="7" t="str">
        <v>裁决殿·殿外</v>
      </c>
      <c r="C28" s="7" t="str">
        <v>裁决殿｜源S07</v>
      </c>
      <c r="D28" s="7" t="str">
        <v>外</v>
      </c>
      <c r="E28" s="7" t="str">
        <v>高台、台阶、两侧门为部件，非三个新房间</v>
      </c>
      <c r="F28" s="7" t="str">
        <v>石柱、固定台座、座椅、灯具、纹饰</v>
      </c>
      <c r="G28" s="7" t="str">
        <v>进出动线与飞身落点连续</v>
      </c>
      <c r="H28" s="7" t="str">
        <v>用户精简清单 T2R008</v>
      </c>
      <c r="I28" s="7" t="str">
        <v>S07 裁决殿；第42集起至51集；大殿、裁决高台、台阶、两侧门、殿外；石柱、固定台座、座椅、灯具、殿内纹饰</v>
      </c>
      <c r="J28" s="7" t="str">
        <v>原文明示</v>
      </c>
      <c r="K28" s="7" t="str">
        <v>不适用</v>
      </c>
      <c r="L28" s="7" t="str">
        <v>清单明确的空间需求；尺寸、朝向及逐场连续性待补。</v>
      </c>
      <c r="M28" s="7" t="str"/>
      <c r="N28" s="7" t="str"/>
      <c r="O28" s="7" t="str">
        <v>有效</v>
      </c>
      <c r="P28" s="7" t="str"/>
    </row>
    <row r="29" ht="55" customHeight="1">
      <c r="A29" s="7" t="str">
        <v>LOC-0025</v>
      </c>
      <c r="B29" s="7" t="str">
        <v>咖啡馆·室内卡座</v>
      </c>
      <c r="C29" s="7" t="str">
        <v>咖啡馆｜源S08</v>
      </c>
      <c r="D29" s="7" t="str">
        <v>内</v>
      </c>
      <c r="E29" s="7" t="str">
        <v>同一家店的室内/外立面对应</v>
      </c>
      <c r="F29" s="7" t="str">
        <v>沙发、咖啡桌、杯具、装饰、招牌；测谎仪与采访牌独立</v>
      </c>
      <c r="G29" s="7" t="str">
        <v>未明确</v>
      </c>
      <c r="H29" s="7" t="str">
        <v>用户精简清单 T3R002</v>
      </c>
      <c r="I29" s="7" t="str">
        <v>S08 咖啡馆；第2—3集；室内卡座和门口采访区共用一家咖啡馆；门口使用同一外立面</v>
      </c>
      <c r="J29" s="7" t="str">
        <v>原文明示</v>
      </c>
      <c r="K29" s="7" t="str">
        <v>不适用</v>
      </c>
      <c r="L29" s="7" t="str">
        <v>清单明确的空间需求；尺寸、朝向及逐场连续性待补。</v>
      </c>
      <c r="M29" s="7" t="str"/>
      <c r="N29" s="7" t="str"/>
      <c r="O29" s="7" t="str">
        <v>有效</v>
      </c>
      <c r="P29" s="7" t="str"/>
    </row>
    <row r="30" ht="55" customHeight="1">
      <c r="A30" s="7" t="str">
        <v>LOC-0026</v>
      </c>
      <c r="B30" s="7" t="str">
        <v>咖啡馆·门口采访区</v>
      </c>
      <c r="C30" s="7" t="str">
        <v>咖啡馆｜源S08</v>
      </c>
      <c r="D30" s="7" t="str">
        <v>未明确</v>
      </c>
      <c r="E30" s="7" t="str">
        <v>同一家店的室内/外立面对应</v>
      </c>
      <c r="F30" s="7" t="str">
        <v>沙发、咖啡桌、杯具、装饰、招牌；测谎仪与采访牌独立</v>
      </c>
      <c r="G30" s="7" t="str">
        <v>未明确</v>
      </c>
      <c r="H30" s="7" t="str">
        <v>用户精简清单 T3R002</v>
      </c>
      <c r="I30" s="7" t="str">
        <v>S08 咖啡馆；第2—3集；室内卡座和门口采访区共用一家咖啡馆；门口使用同一外立面</v>
      </c>
      <c r="J30" s="7" t="str">
        <v>原文明示</v>
      </c>
      <c r="K30" s="7" t="str">
        <v>不适用</v>
      </c>
      <c r="L30" s="7" t="str">
        <v>清单明确的空间需求；尺寸、朝向及逐场连续性待补。</v>
      </c>
      <c r="M30" s="7" t="str"/>
      <c r="N30" s="7" t="str"/>
      <c r="O30" s="7" t="str">
        <v>有效</v>
      </c>
      <c r="P30" s="7" t="str"/>
    </row>
    <row r="31" ht="55" customHeight="1">
      <c r="A31" s="7" t="str">
        <v>LOC-0027</v>
      </c>
      <c r="B31" s="7" t="str">
        <v>商场·公共通道</v>
      </c>
      <c r="C31" s="7" t="str">
        <v>商场｜源S09</v>
      </c>
      <c r="D31" s="7" t="str">
        <v>未明确</v>
      </c>
      <c r="E31" s="7" t="str">
        <v>连续公共通道；店面走廊按实际镜头扩展，不凭空增加房间</v>
      </c>
      <c r="F31" s="7" t="str">
        <v>未明确</v>
      </c>
      <c r="G31" s="7" t="str">
        <v>未明确</v>
      </c>
      <c r="H31" s="7" t="str">
        <v>用户精简清单 T3R003</v>
      </c>
      <c r="I31" s="7" t="str">
        <v>S09 商场；第3—5集；一个连续公共通道，必要时按镜头扩展店面、走廊</v>
      </c>
      <c r="J31" s="7" t="str">
        <v>原文明示</v>
      </c>
      <c r="K31" s="7" t="str">
        <v>不适用</v>
      </c>
      <c r="L31" s="7" t="str">
        <v>清单明确的空间需求；尺寸、朝向及逐场连续性待补。</v>
      </c>
      <c r="M31" s="7" t="str"/>
      <c r="N31" s="7" t="str"/>
      <c r="O31" s="7" t="str">
        <v>有效</v>
      </c>
      <c r="P31" s="7" t="str"/>
    </row>
    <row r="32" ht="55" customHeight="1">
      <c r="A32" s="7" t="str">
        <v>LOC-0028</v>
      </c>
      <c r="B32" s="7" t="str">
        <v>少年江辰的家·书房</v>
      </c>
      <c r="C32" s="7" t="str">
        <v>少年江辰的家｜源S10</v>
      </c>
      <c r="D32" s="7" t="str">
        <v>内</v>
      </c>
      <c r="E32" s="7" t="str">
        <v>书房与密室通过墙上观察孔关联</v>
      </c>
      <c r="F32" s="7" t="str">
        <v>观察孔属于空间组成；其他未明确</v>
      </c>
      <c r="G32" s="7" t="str">
        <v>未明确</v>
      </c>
      <c r="H32" s="7" t="str">
        <v>用户精简清单 T3R004</v>
      </c>
      <c r="I32" s="7" t="str">
        <v>S10 少年江辰的家；第4集闪回；书房与密室必须通过墙上观察孔关联，不能分成无关场景</v>
      </c>
      <c r="J32" s="7" t="str">
        <v>原文明示</v>
      </c>
      <c r="K32" s="7" t="str">
        <v>不适用</v>
      </c>
      <c r="L32" s="7" t="str">
        <v>清单明确的空间需求；尺寸、朝向及逐场连续性待补。</v>
      </c>
      <c r="M32" s="7" t="str"/>
      <c r="N32" s="7" t="str"/>
      <c r="O32" s="7" t="str">
        <v>有效</v>
      </c>
      <c r="P32" s="7" t="str"/>
    </row>
    <row r="33" ht="55" customHeight="1">
      <c r="A33" s="7" t="str">
        <v>LOC-0029</v>
      </c>
      <c r="B33" s="7" t="str">
        <v>少年江辰的家·密室</v>
      </c>
      <c r="C33" s="7" t="str">
        <v>少年江辰的家｜源S10</v>
      </c>
      <c r="D33" s="7" t="str">
        <v>内</v>
      </c>
      <c r="E33" s="7" t="str">
        <v>书房与密室通过墙上观察孔关联</v>
      </c>
      <c r="F33" s="7" t="str">
        <v>观察孔属于空间组成；其他未明确</v>
      </c>
      <c r="G33" s="7" t="str">
        <v>未明确</v>
      </c>
      <c r="H33" s="7" t="str">
        <v>用户精简清单 T3R004</v>
      </c>
      <c r="I33" s="7" t="str">
        <v>S10 少年江辰的家；第4集闪回；书房与密室必须通过墙上观察孔关联，不能分成无关场景</v>
      </c>
      <c r="J33" s="7" t="str">
        <v>原文明示</v>
      </c>
      <c r="K33" s="7" t="str">
        <v>不适用</v>
      </c>
      <c r="L33" s="7" t="str">
        <v>清单明确的空间需求；尺寸、朝向及逐场连续性待补。</v>
      </c>
      <c r="M33" s="7" t="str"/>
      <c r="N33" s="7" t="str"/>
      <c r="O33" s="7" t="str">
        <v>有效</v>
      </c>
      <c r="P33" s="7" t="str"/>
    </row>
    <row r="34" ht="55" customHeight="1">
      <c r="A34" s="7" t="str">
        <v>LOC-0030</v>
      </c>
      <c r="B34" s="7" t="str">
        <v>张阎王家·大厅</v>
      </c>
      <c r="C34" s="7" t="str">
        <v>张阎王家｜源S11</v>
      </c>
      <c r="D34" s="7" t="str">
        <v>内</v>
      </c>
      <c r="E34" s="7" t="str">
        <v>源“张阎王家/别墅大厅”归并在此；不与苏家别墅合并</v>
      </c>
      <c r="F34" s="7" t="str">
        <v>沙发、茶几、普通茶杯</v>
      </c>
      <c r="G34" s="7" t="str">
        <v>未明确</v>
      </c>
      <c r="H34" s="7" t="str">
        <v>用户精简清单 T3R005</v>
      </c>
      <c r="I34" s="7" t="str">
        <v>S11 张阎王家；第6、9集；“张阎王家”与“别墅大厅”合并；沙发、茶几融入场景</v>
      </c>
      <c r="J34" s="7" t="str">
        <v>原文明示</v>
      </c>
      <c r="K34" s="7" t="str">
        <v>不适用</v>
      </c>
      <c r="L34" s="7" t="str">
        <v>清单明确的空间需求；尺寸、朝向及逐场连续性待补。</v>
      </c>
      <c r="M34" s="7" t="str"/>
      <c r="N34" s="7" t="str"/>
      <c r="O34" s="7" t="str">
        <v>有效</v>
      </c>
      <c r="P34" s="7" t="str"/>
    </row>
    <row r="35" ht="85" customHeight="1">
      <c r="A35" s="7" t="str">
        <v>LOC-0031</v>
      </c>
      <c r="B35" s="7" t="str">
        <v>反派密室·鲨鱼会面（暂分）</v>
      </c>
      <c r="C35" s="7" t="str">
        <v>反派密室｜源S12，美术模板非实体地址</v>
      </c>
      <c r="D35" s="7" t="str">
        <v>内</v>
      </c>
      <c r="E35" s="7" t="str">
        <v>同屋/异屋未证实；仅审美可复用</v>
      </c>
      <c r="F35" s="7" t="str">
        <v>未明确</v>
      </c>
      <c r="G35" s="7" t="str">
        <v>未明确</v>
      </c>
      <c r="H35" s="7" t="str">
        <v>用户精简清单 P039</v>
      </c>
      <c r="I35" s="7" t="str">
        <v>3. 银女修炼密室、鲨鱼会议密室、神秘面具女性所在密室是否为同一实际地点，剧本未明确说明；在制作资产时可复用美术设计，但不能擅自认定为同一个房间。</v>
      </c>
      <c r="J35" s="7" t="str">
        <v>合理推断</v>
      </c>
      <c r="K35" s="7" t="str">
        <v>待确认</v>
      </c>
      <c r="L35" s="7" t="str">
        <v>暂分登记避免误合并，不能断言确为不同房间；需原剧确认。</v>
      </c>
      <c r="M35" s="7" t="str"/>
      <c r="N35" s="7" t="str"/>
      <c r="O35" s="7" t="str">
        <v>有效</v>
      </c>
      <c r="P35" s="7" t="str"/>
    </row>
    <row r="36" ht="85" customHeight="1">
      <c r="A36" s="7" t="str">
        <v>LOC-0032</v>
      </c>
      <c r="B36" s="7" t="str">
        <v>反派密室·面具女性汇报（暂分）</v>
      </c>
      <c r="C36" s="7" t="str">
        <v>反派密室｜源S12，美术模板非实体地址</v>
      </c>
      <c r="D36" s="7" t="str">
        <v>内</v>
      </c>
      <c r="E36" s="7" t="str">
        <v>同屋/异屋未证实；仅审美可复用</v>
      </c>
      <c r="F36" s="7" t="str">
        <v>未明确</v>
      </c>
      <c r="G36" s="7" t="str">
        <v>未明确</v>
      </c>
      <c r="H36" s="7" t="str">
        <v>用户精简清单 P039</v>
      </c>
      <c r="I36" s="7" t="str">
        <v>3. 银女修炼密室、鲨鱼会议密室、神秘面具女性所在密室是否为同一实际地点，剧本未明确说明；在制作资产时可复用美术设计，但不能擅自认定为同一个房间。</v>
      </c>
      <c r="J36" s="7" t="str">
        <v>合理推断</v>
      </c>
      <c r="K36" s="7" t="str">
        <v>待确认</v>
      </c>
      <c r="L36" s="7" t="str">
        <v>暂分登记避免误合并，不能断言确为不同房间；需原剧确认。</v>
      </c>
      <c r="M36" s="7" t="str"/>
      <c r="N36" s="7" t="str"/>
      <c r="O36" s="7" t="str">
        <v>有效</v>
      </c>
      <c r="P36" s="7" t="str"/>
    </row>
    <row r="37" ht="85" customHeight="1">
      <c r="A37" s="7" t="str">
        <v>LOC-0033</v>
      </c>
      <c r="B37" s="7" t="str">
        <v>反派密室·银女修炼（暂分）</v>
      </c>
      <c r="C37" s="7" t="str">
        <v>反派密室｜源S12，美术模板非实体地址</v>
      </c>
      <c r="D37" s="7" t="str">
        <v>内</v>
      </c>
      <c r="E37" s="7" t="str">
        <v>同屋/异屋未证实；仅审美可复用</v>
      </c>
      <c r="F37" s="7" t="str">
        <v>未明确</v>
      </c>
      <c r="G37" s="7" t="str">
        <v>未明确</v>
      </c>
      <c r="H37" s="7" t="str">
        <v>用户精简清单 P039</v>
      </c>
      <c r="I37" s="7" t="str">
        <v>3. 银女修炼密室、鲨鱼会议密室、神秘面具女性所在密室是否为同一实际地点，剧本未明确说明；在制作资产时可复用美术设计，但不能擅自认定为同一个房间。</v>
      </c>
      <c r="J37" s="7" t="str">
        <v>合理推断</v>
      </c>
      <c r="K37" s="7" t="str">
        <v>待确认</v>
      </c>
      <c r="L37" s="7" t="str">
        <v>暂分登记避免误合并，不能断言确为不同房间；需原剧确认。</v>
      </c>
      <c r="M37" s="7" t="str"/>
      <c r="N37" s="7" t="str"/>
      <c r="O37" s="7" t="str">
        <v>有效</v>
      </c>
      <c r="P37" s="7" t="str"/>
    </row>
    <row r="38" ht="55" customHeight="1">
      <c r="A38" s="7" t="str">
        <v>LOC-0034</v>
      </c>
      <c r="B38" s="7" t="str">
        <v>医院·手术室门口</v>
      </c>
      <c r="C38" s="7" t="str">
        <v>医院｜源S13</v>
      </c>
      <c r="D38" s="7" t="str">
        <v>未明确</v>
      </c>
      <c r="E38" s="7" t="str">
        <v>两实际子空间，统一装修但不能合成一个房间</v>
      </c>
      <c r="F38" s="7" t="str">
        <v>普通病床、医疗器械、走廊设施；按区域分配</v>
      </c>
      <c r="G38" s="7" t="str">
        <v>推床路线与病房布局衔接</v>
      </c>
      <c r="H38" s="7" t="str">
        <v>用户精简清单 T3R007</v>
      </c>
      <c r="I38" s="7" t="str">
        <v>S13 医院；第28—31集；手术室门口和病房作为两个实际子空间，装修语言统一</v>
      </c>
      <c r="J38" s="7" t="str">
        <v>原文明示</v>
      </c>
      <c r="K38" s="7" t="str">
        <v>不适用</v>
      </c>
      <c r="L38" s="7" t="str">
        <v>清单明确的空间需求；尺寸、朝向及逐场连续性待补。</v>
      </c>
      <c r="M38" s="7" t="str"/>
      <c r="N38" s="7" t="str"/>
      <c r="O38" s="7" t="str">
        <v>有效</v>
      </c>
      <c r="P38" s="7" t="str"/>
    </row>
    <row r="39" ht="55" customHeight="1">
      <c r="A39" s="7" t="str">
        <v>LOC-0035</v>
      </c>
      <c r="B39" s="7" t="str">
        <v>医院·病房</v>
      </c>
      <c r="C39" s="7" t="str">
        <v>医院｜源S13</v>
      </c>
      <c r="D39" s="7" t="str">
        <v>内</v>
      </c>
      <c r="E39" s="7" t="str">
        <v>两实际子空间，统一装修但不能合成一个房间</v>
      </c>
      <c r="F39" s="7" t="str">
        <v>普通病床、医疗器械、走廊设施；按区域分配</v>
      </c>
      <c r="G39" s="7" t="str">
        <v>推床路线与病房布局衔接</v>
      </c>
      <c r="H39" s="7" t="str">
        <v>用户精简清单 T3R007</v>
      </c>
      <c r="I39" s="7" t="str">
        <v>S13 医院；第28—31集；手术室门口和病房作为两个实际子空间，装修语言统一</v>
      </c>
      <c r="J39" s="7" t="str">
        <v>原文明示</v>
      </c>
      <c r="K39" s="7" t="str">
        <v>不适用</v>
      </c>
      <c r="L39" s="7" t="str">
        <v>清单明确的空间需求；尺寸、朝向及逐场连续性待补。</v>
      </c>
      <c r="M39" s="7" t="str"/>
      <c r="N39" s="7" t="str"/>
      <c r="O39" s="7" t="str">
        <v>有效</v>
      </c>
      <c r="P39" s="7" t="str"/>
    </row>
    <row r="40" ht="55" customHeight="1">
      <c r="A40" s="7" t="str">
        <v>LOC-0036</v>
      </c>
      <c r="B40" s="7" t="str">
        <v>墓地·合葬墓与墓道</v>
      </c>
      <c r="C40" s="7" t="str">
        <v>墓地｜源S14</v>
      </c>
      <c r="D40" s="7" t="str">
        <v>外</v>
      </c>
      <c r="E40" s="7" t="str">
        <v>无名合葬墓与周边墓道固定；父母墓碑身份与无名如何对应待核</v>
      </c>
      <c r="F40" s="7" t="str">
        <v>墓碑、墓道、背景植被</v>
      </c>
      <c r="G40" s="7" t="str">
        <v>江辰父母合葬墓位置和特征固定；碑文原文未提供</v>
      </c>
      <c r="H40" s="7" t="str">
        <v>用户精简清单 T3R008</v>
      </c>
      <c r="I40" s="7" t="str">
        <v>S14 墓地；第31—32集；无名合葬墓和周边墓道构成固定构图；雨天为环境状态</v>
      </c>
      <c r="J40" s="7" t="str">
        <v>原文明示</v>
      </c>
      <c r="K40" s="7" t="str">
        <v>不适用</v>
      </c>
      <c r="L40" s="7" t="str">
        <v>清单明确的空间需求；尺寸、朝向及逐场连续性待补。</v>
      </c>
      <c r="M40" s="7" t="str"/>
      <c r="N40" s="7" t="str"/>
      <c r="O40" s="7" t="str">
        <v>有效</v>
      </c>
      <c r="P40" s="7" t="str"/>
    </row>
    <row r="41" ht="70" customHeight="1">
      <c r="A41" s="7" t="str">
        <v>LOC-0037</v>
      </c>
      <c r="B41" s="7" t="str">
        <v>野外空地</v>
      </c>
      <c r="C41" s="7" t="str">
        <v>临时背景｜源T02</v>
      </c>
      <c r="D41" s="7" t="str">
        <v>外</v>
      </c>
      <c r="E41" s="7" t="str">
        <v>审问与伏击连续戏需树木、站位和射击方向统一</v>
      </c>
      <c r="F41" s="7" t="str">
        <v>树木、地形参考，细节未明确</v>
      </c>
      <c r="G41" s="7" t="str">
        <v>未明确</v>
      </c>
      <c r="H41" s="7" t="str">
        <v>用户精简清单 T4R003</v>
      </c>
      <c r="I41" s="7" t="str">
        <v>T02 野外空地；第27—28集；建立一个地形参考画面即可；审问与伏击连续戏需锁定树木、人物站位和射击方向。</v>
      </c>
      <c r="J41" s="7" t="str">
        <v>原文明示</v>
      </c>
      <c r="K41" s="7" t="str">
        <v>不适用</v>
      </c>
      <c r="L41" s="7" t="str">
        <v>清单明确的空间需求；尺寸、朝向及逐场连续性待补。</v>
      </c>
      <c r="M41" s="7" t="str"/>
      <c r="N41" s="7" t="str"/>
      <c r="O41" s="7" t="str">
        <v>有效</v>
      </c>
      <c r="P41" s="7" t="str"/>
    </row>
  </sheetData>
  <conditionalFormatting sqref="K5:K141">
    <cfRule type="containsText" dxfId="4" priority="1" operator="containsText" text="待确认"/>
  </conditionalFormatting>
  <conditionalFormatting sqref="L5:L141">
    <cfRule type="expression" dxfId="5" priority="2">
      <formula>AND(L5&lt;&gt;"",L5&lt;&gt;"无新增缺口")</formula>
    </cfRule>
  </conditionalFormatting>
  <dataValidations count="3">
    <dataValidation type="list" sqref="J5:J141">
      <formula1>"原文明示,合理推断,设计候选"</formula1>
    </dataValidation>
    <dataValidation type="list" sqref="K5:K141">
      <formula1>"待确认,已确认,不适用"</formula1>
    </dataValidation>
    <dataValidation type="list" sqref="O5:O141">
      <formula1>"有效,已合并,已停用"</formula1>
    </dataValidation>
  </dataValidations>
  <hyperlinks>
    <hyperlink ref="C2" location="'使用说明与总览'!A1"/>
  </hyperlinks>
  <pageMargins left="0.7" right="0.7" top="0.75" bottom="0.75" header="0.3" footer="0.3"/>
  <tableParts count="1">
    <tablePart r:id="R54c7ca7b02484e13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22" hidden="0" customWidth="1"/>
    <col min="4" max="4" width="22" hidden="0" customWidth="1"/>
    <col min="5" max="5" width="22" hidden="0" customWidth="1"/>
    <col min="6" max="6" width="32" hidden="0" customWidth="1"/>
    <col min="7" max="7" width="32" hidden="0" customWidth="1"/>
    <col min="8" max="8" width="22" hidden="0" customWidth="1"/>
    <col min="9" max="9" width="22" hidden="0" customWidth="1"/>
    <col min="10" max="10" width="22" hidden="0" customWidth="1"/>
    <col min="11" max="11" width="32" hidden="0" customWidth="1"/>
    <col min="12" max="12" width="22" hidden="0" customWidth="1"/>
    <col min="13" max="13" width="22" hidden="0" customWidth="1"/>
    <col min="14" max="14" width="32" hidden="0" customWidth="1"/>
    <col min="15" max="15" width="32" hidden="0" customWidth="1"/>
    <col min="16" max="16" width="32" hidden="0" customWidth="1"/>
    <col min="17" max="17" width="22" hidden="0" customWidth="1"/>
    <col min="18" max="18" width="2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tr">
        <v>场景状态</v>
      </c>
      <c r="B2" s="1"/>
      <c r="C2" s="1" t="str">
        <v>返回总览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8" customHeight="1">
      <c r="A4" s="5" t="str">
        <v>状态编号</v>
      </c>
      <c r="B4" s="5" t="str">
        <v>场景编号</v>
      </c>
      <c r="C4" s="5" t="str">
        <v>基准状态编号</v>
      </c>
      <c r="D4" s="5" t="str">
        <v>日夜与光照</v>
      </c>
      <c r="E4" s="5" t="str">
        <v>天气</v>
      </c>
      <c r="F4" s="5" t="str">
        <v>物理变化</v>
      </c>
      <c r="G4" s="5" t="str">
        <v>变化前后</v>
      </c>
      <c r="H4" s="5" t="str">
        <v>适用场次</v>
      </c>
      <c r="I4" s="5" t="str">
        <v>制作建议</v>
      </c>
      <c r="J4" s="5" t="str">
        <v>原文定位</v>
      </c>
      <c r="K4" s="5" t="str">
        <v>原文摘录</v>
      </c>
      <c r="L4" s="5" t="str">
        <v>证据性质</v>
      </c>
      <c r="M4" s="5" t="str">
        <v>确认状态</v>
      </c>
      <c r="N4" s="5" t="str">
        <v>待确认项</v>
      </c>
      <c r="O4" s="5" t="str">
        <v>用户批注</v>
      </c>
      <c r="P4" s="5" t="str">
        <v>变更说明</v>
      </c>
      <c r="Q4" s="5" t="str">
        <v>记录状态</v>
      </c>
      <c r="R4" s="5" t="str">
        <v>合并至编号</v>
      </c>
    </row>
    <row r="5" ht="100" customHeight="1">
      <c r="A5" s="7" t="str">
        <v>LCV-0001</v>
      </c>
      <c r="B5" s="9" t="str">
        <v>LOC-0001</v>
      </c>
      <c r="C5" s="7" t="str"/>
      <c r="D5" s="7" t="str">
        <v>未明确</v>
      </c>
      <c r="E5" s="7" t="str">
        <v>未明确</v>
      </c>
      <c r="F5" s="7" t="str">
        <v>基准需求；未提供完整初始物理状态</v>
      </c>
      <c r="G5" s="7" t="str">
        <v>未明确，不默认正常/完整</v>
      </c>
      <c r="H5" s="7" t="str">
        <v>第3集起，高频贯穿后续；无实际分场号</v>
      </c>
      <c r="I5" s="7" t="str">
        <v>补充参考</v>
      </c>
      <c r="J5" s="7" t="str">
        <v>用户精简清单 T2R002</v>
      </c>
      <c r="K5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5" s="7" t="str">
        <v>原文明示</v>
      </c>
      <c r="M5" s="7" t="str">
        <v>不适用</v>
      </c>
      <c r="N5" s="7" t="str">
        <v>需原剧分场复核，清单不能证明完整性</v>
      </c>
      <c r="O5" s="7" t="str"/>
      <c r="P5" s="7" t="str"/>
      <c r="Q5" s="7" t="str">
        <v>有效</v>
      </c>
      <c r="R5" s="7" t="str"/>
    </row>
    <row r="6" ht="100" customHeight="1">
      <c r="A6" s="7" t="str">
        <v>LCV-0002</v>
      </c>
      <c r="B6" s="9" t="str">
        <v>LOC-0002</v>
      </c>
      <c r="C6" s="7" t="str"/>
      <c r="D6" s="7" t="str">
        <v>未明确</v>
      </c>
      <c r="E6" s="7" t="str">
        <v>未明确</v>
      </c>
      <c r="F6" s="7" t="str">
        <v>基准需求；未提供完整初始物理状态</v>
      </c>
      <c r="G6" s="7" t="str">
        <v>未明确，不默认正常/完整</v>
      </c>
      <c r="H6" s="7" t="str">
        <v>第3集起，高频贯穿后续；无实际分场号</v>
      </c>
      <c r="I6" s="7" t="str">
        <v>补充参考</v>
      </c>
      <c r="J6" s="7" t="str">
        <v>用户精简清单 T2R002</v>
      </c>
      <c r="K6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6" s="7" t="str">
        <v>原文明示</v>
      </c>
      <c r="M6" s="7" t="str">
        <v>不适用</v>
      </c>
      <c r="N6" s="7" t="str">
        <v>需原剧分场复核，清单不能证明完整性</v>
      </c>
      <c r="O6" s="7" t="str"/>
      <c r="P6" s="7" t="str"/>
      <c r="Q6" s="7" t="str">
        <v>有效</v>
      </c>
      <c r="R6" s="7" t="str"/>
    </row>
    <row r="7" ht="100" customHeight="1">
      <c r="A7" s="7" t="str">
        <v>LCV-0003</v>
      </c>
      <c r="B7" s="9" t="str">
        <v>LOC-0003</v>
      </c>
      <c r="C7" s="7" t="str"/>
      <c r="D7" s="7" t="str">
        <v>未明确</v>
      </c>
      <c r="E7" s="7" t="str">
        <v>未明确</v>
      </c>
      <c r="F7" s="7" t="str">
        <v>基准需求；未提供完整初始物理状态</v>
      </c>
      <c r="G7" s="7" t="str">
        <v>未明确，不默认正常/完整</v>
      </c>
      <c r="H7" s="7" t="str">
        <v>第3集起，高频贯穿后续；无实际分场号</v>
      </c>
      <c r="I7" s="7" t="str">
        <v>补充参考</v>
      </c>
      <c r="J7" s="7" t="str">
        <v>用户精简清单 T2R002</v>
      </c>
      <c r="K7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7" s="7" t="str">
        <v>原文明示</v>
      </c>
      <c r="M7" s="7" t="str">
        <v>不适用</v>
      </c>
      <c r="N7" s="7" t="str">
        <v>需原剧分场复核，清单不能证明完整性</v>
      </c>
      <c r="O7" s="7" t="str"/>
      <c r="P7" s="7" t="str"/>
      <c r="Q7" s="7" t="str">
        <v>有效</v>
      </c>
      <c r="R7" s="7" t="str"/>
    </row>
    <row r="8" ht="100" customHeight="1">
      <c r="A8" s="7" t="str">
        <v>LCV-0004</v>
      </c>
      <c r="B8" s="9" t="str">
        <v>LOC-0004</v>
      </c>
      <c r="C8" s="7" t="str"/>
      <c r="D8" s="7" t="str">
        <v>未明确</v>
      </c>
      <c r="E8" s="7" t="str">
        <v>未明确</v>
      </c>
      <c r="F8" s="7" t="str">
        <v>基准需求；未提供完整初始物理状态</v>
      </c>
      <c r="G8" s="7" t="str">
        <v>未明确，不默认正常/完整</v>
      </c>
      <c r="H8" s="7" t="str">
        <v>第3集起，高频贯穿后续；无实际分场号</v>
      </c>
      <c r="I8" s="7" t="str">
        <v>补充参考</v>
      </c>
      <c r="J8" s="7" t="str">
        <v>用户精简清单 T2R002</v>
      </c>
      <c r="K8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8" s="7" t="str">
        <v>原文明示</v>
      </c>
      <c r="M8" s="7" t="str">
        <v>不适用</v>
      </c>
      <c r="N8" s="7" t="str">
        <v>需原剧分场复核，清单不能证明完整性</v>
      </c>
      <c r="O8" s="7" t="str"/>
      <c r="P8" s="7" t="str"/>
      <c r="Q8" s="7" t="str">
        <v>有效</v>
      </c>
      <c r="R8" s="7" t="str"/>
    </row>
    <row r="9" ht="100" customHeight="1">
      <c r="A9" s="7" t="str">
        <v>LCV-0005</v>
      </c>
      <c r="B9" s="9" t="str">
        <v>LOC-0005</v>
      </c>
      <c r="C9" s="7" t="str"/>
      <c r="D9" s="7" t="str">
        <v>未明确</v>
      </c>
      <c r="E9" s="7" t="str">
        <v>未明确</v>
      </c>
      <c r="F9" s="7" t="str">
        <v>基准需求；未提供完整初始物理状态</v>
      </c>
      <c r="G9" s="7" t="str">
        <v>未明确，不默认正常/完整</v>
      </c>
      <c r="H9" s="7" t="str">
        <v>第3集起，高频贯穿后续；无实际分场号</v>
      </c>
      <c r="I9" s="7" t="str">
        <v>补充参考</v>
      </c>
      <c r="J9" s="7" t="str">
        <v>用户精简清单 T2R002</v>
      </c>
      <c r="K9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9" s="7" t="str">
        <v>原文明示</v>
      </c>
      <c r="M9" s="7" t="str">
        <v>不适用</v>
      </c>
      <c r="N9" s="7" t="str">
        <v>需原剧分场复核，清单不能证明完整性</v>
      </c>
      <c r="O9" s="7" t="str"/>
      <c r="P9" s="7" t="str"/>
      <c r="Q9" s="7" t="str">
        <v>有效</v>
      </c>
      <c r="R9" s="7" t="str"/>
    </row>
    <row r="10" ht="100" customHeight="1">
      <c r="A10" s="7" t="str">
        <v>LCV-0006</v>
      </c>
      <c r="B10" s="9" t="str">
        <v>LOC-0006</v>
      </c>
      <c r="C10" s="7" t="str"/>
      <c r="D10" s="7" t="str">
        <v>未明确</v>
      </c>
      <c r="E10" s="7" t="str">
        <v>未明确</v>
      </c>
      <c r="F10" s="7" t="str">
        <v>基准需求；未提供完整初始物理状态</v>
      </c>
      <c r="G10" s="7" t="str">
        <v>未明确，不默认正常/完整</v>
      </c>
      <c r="H10" s="7" t="str">
        <v>第3集起，高频贯穿后续；无实际分场号</v>
      </c>
      <c r="I10" s="7" t="str">
        <v>补充参考</v>
      </c>
      <c r="J10" s="7" t="str">
        <v>用户精简清单 T2R002</v>
      </c>
      <c r="K10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10" s="7" t="str">
        <v>原文明示</v>
      </c>
      <c r="M10" s="7" t="str">
        <v>不适用</v>
      </c>
      <c r="N10" s="7" t="str">
        <v>需原剧分场复核，清单不能证明完整性</v>
      </c>
      <c r="O10" s="7" t="str"/>
      <c r="P10" s="7" t="str"/>
      <c r="Q10" s="7" t="str">
        <v>有效</v>
      </c>
      <c r="R10" s="7" t="str"/>
    </row>
    <row r="11" ht="100" customHeight="1">
      <c r="A11" s="7" t="str">
        <v>LCV-0007</v>
      </c>
      <c r="B11" s="9" t="str">
        <v>LOC-0007</v>
      </c>
      <c r="C11" s="7" t="str"/>
      <c r="D11" s="7" t="str">
        <v>未明确</v>
      </c>
      <c r="E11" s="7" t="str">
        <v>未明确</v>
      </c>
      <c r="F11" s="7" t="str">
        <v>基准需求；未提供完整初始物理状态</v>
      </c>
      <c r="G11" s="7" t="str">
        <v>未明确，不默认正常/完整</v>
      </c>
      <c r="H11" s="7" t="str">
        <v>第3集起，高频贯穿后续；无实际分场号</v>
      </c>
      <c r="I11" s="7" t="str">
        <v>补充参考</v>
      </c>
      <c r="J11" s="7" t="str">
        <v>用户精简清单 T2R002</v>
      </c>
      <c r="K11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11" s="7" t="str">
        <v>原文明示</v>
      </c>
      <c r="M11" s="7" t="str">
        <v>不适用</v>
      </c>
      <c r="N11" s="7" t="str">
        <v>需原剧分场复核，清单不能证明完整性</v>
      </c>
      <c r="O11" s="7" t="str"/>
      <c r="P11" s="7" t="str"/>
      <c r="Q11" s="7" t="str">
        <v>有效</v>
      </c>
      <c r="R11" s="7" t="str"/>
    </row>
    <row r="12" ht="100" customHeight="1">
      <c r="A12" s="7" t="str">
        <v>LCV-0008</v>
      </c>
      <c r="B12" s="9" t="str">
        <v>LOC-0008</v>
      </c>
      <c r="C12" s="7" t="str"/>
      <c r="D12" s="7" t="str">
        <v>未明确</v>
      </c>
      <c r="E12" s="7" t="str">
        <v>未明确</v>
      </c>
      <c r="F12" s="7" t="str">
        <v>基准需求；未提供完整初始物理状态</v>
      </c>
      <c r="G12" s="7" t="str">
        <v>未明确，不默认正常/完整</v>
      </c>
      <c r="H12" s="7" t="str">
        <v>第3集起，高频贯穿后续；无实际分场号</v>
      </c>
      <c r="I12" s="7" t="str">
        <v>补充参考</v>
      </c>
      <c r="J12" s="7" t="str">
        <v>用户精简清单 T2R002</v>
      </c>
      <c r="K12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12" s="7" t="str">
        <v>原文明示</v>
      </c>
      <c r="M12" s="7" t="str">
        <v>不适用</v>
      </c>
      <c r="N12" s="7" t="str">
        <v>需原剧分场复核，清单不能证明完整性</v>
      </c>
      <c r="O12" s="7" t="str"/>
      <c r="P12" s="7" t="str"/>
      <c r="Q12" s="7" t="str">
        <v>有效</v>
      </c>
      <c r="R12" s="7" t="str"/>
    </row>
    <row r="13" ht="100" customHeight="1">
      <c r="A13" s="7" t="str">
        <v>LCV-0009</v>
      </c>
      <c r="B13" s="9" t="str">
        <v>LOC-0009</v>
      </c>
      <c r="C13" s="7" t="str"/>
      <c r="D13" s="7" t="str">
        <v>未明确</v>
      </c>
      <c r="E13" s="7" t="str">
        <v>未明确</v>
      </c>
      <c r="F13" s="7" t="str">
        <v>基准需求；未提供完整初始物理状态</v>
      </c>
      <c r="G13" s="7" t="str">
        <v>未明确，不默认正常/完整</v>
      </c>
      <c r="H13" s="7" t="str">
        <v>第3集起，高频贯穿后续；无实际分场号</v>
      </c>
      <c r="I13" s="7" t="str">
        <v>补充参考</v>
      </c>
      <c r="J13" s="7" t="str">
        <v>用户精简清单 T2R002</v>
      </c>
      <c r="K13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L13" s="7" t="str">
        <v>原文明示</v>
      </c>
      <c r="M13" s="7" t="str">
        <v>不适用</v>
      </c>
      <c r="N13" s="7" t="str">
        <v>需原剧分场复核，清单不能证明完整性</v>
      </c>
      <c r="O13" s="7" t="str"/>
      <c r="P13" s="7" t="str"/>
      <c r="Q13" s="7" t="str">
        <v>有效</v>
      </c>
      <c r="R13" s="7" t="str"/>
    </row>
    <row r="14" ht="70" customHeight="1">
      <c r="A14" s="7" t="str">
        <v>LCV-0010</v>
      </c>
      <c r="B14" s="9" t="str">
        <v>LOC-0010</v>
      </c>
      <c r="C14" s="7" t="str"/>
      <c r="D14" s="7" t="str">
        <v>未明确</v>
      </c>
      <c r="E14" s="7" t="str">
        <v>未明确</v>
      </c>
      <c r="F14" s="7" t="str">
        <v>基准需求；未提供完整初始物理状态</v>
      </c>
      <c r="G14" s="7" t="str">
        <v>未明确，不默认正常/完整</v>
      </c>
      <c r="H14" s="7" t="str">
        <v>第9集起；校园冲突延至22集；无实际分场号</v>
      </c>
      <c r="I14" s="7" t="str">
        <v>补充参考</v>
      </c>
      <c r="J14" s="7" t="str">
        <v>用户精简清单 T2R003</v>
      </c>
      <c r="K14" s="7" t="str">
        <v>S02 大学校园；第9集起；校园冲突延至22集；大学门口、教学楼前、公共区、食堂；校园长椅、宣传栏、食堂桌椅、餐具、学生背景</v>
      </c>
      <c r="L14" s="7" t="str">
        <v>原文明示</v>
      </c>
      <c r="M14" s="7" t="str">
        <v>不适用</v>
      </c>
      <c r="N14" s="7" t="str">
        <v>需原剧分场复核，清单不能证明完整性</v>
      </c>
      <c r="O14" s="7" t="str"/>
      <c r="P14" s="7" t="str"/>
      <c r="Q14" s="7" t="str">
        <v>有效</v>
      </c>
      <c r="R14" s="7" t="str"/>
    </row>
    <row r="15" ht="70" customHeight="1">
      <c r="A15" s="7" t="str">
        <v>LCV-0011</v>
      </c>
      <c r="B15" s="9" t="str">
        <v>LOC-0011</v>
      </c>
      <c r="C15" s="7" t="str"/>
      <c r="D15" s="7" t="str">
        <v>未明确</v>
      </c>
      <c r="E15" s="7" t="str">
        <v>未明确</v>
      </c>
      <c r="F15" s="7" t="str">
        <v>基准需求；未提供完整初始物理状态</v>
      </c>
      <c r="G15" s="7" t="str">
        <v>未明确，不默认正常/完整</v>
      </c>
      <c r="H15" s="7" t="str">
        <v>第9集起；校园冲突延至22集；无实际分场号</v>
      </c>
      <c r="I15" s="7" t="str">
        <v>补充参考</v>
      </c>
      <c r="J15" s="7" t="str">
        <v>用户精简清单 T2R003</v>
      </c>
      <c r="K15" s="7" t="str">
        <v>S02 大学校园；第9集起；校园冲突延至22集；大学门口、教学楼前、公共区、食堂；校园长椅、宣传栏、食堂桌椅、餐具、学生背景</v>
      </c>
      <c r="L15" s="7" t="str">
        <v>原文明示</v>
      </c>
      <c r="M15" s="7" t="str">
        <v>不适用</v>
      </c>
      <c r="N15" s="7" t="str">
        <v>需原剧分场复核，清单不能证明完整性</v>
      </c>
      <c r="O15" s="7" t="str"/>
      <c r="P15" s="7" t="str"/>
      <c r="Q15" s="7" t="str">
        <v>有效</v>
      </c>
      <c r="R15" s="7" t="str"/>
    </row>
    <row r="16" ht="70" customHeight="1">
      <c r="A16" s="7" t="str">
        <v>LCV-0012</v>
      </c>
      <c r="B16" s="9" t="str">
        <v>LOC-0012</v>
      </c>
      <c r="C16" s="7" t="str"/>
      <c r="D16" s="7" t="str">
        <v>未明确</v>
      </c>
      <c r="E16" s="7" t="str">
        <v>未明确</v>
      </c>
      <c r="F16" s="7" t="str">
        <v>基准需求；未提供完整初始物理状态</v>
      </c>
      <c r="G16" s="7" t="str">
        <v>未明确，不默认正常/完整</v>
      </c>
      <c r="H16" s="7" t="str">
        <v>第9集起；校园冲突延至22集；无实际分场号</v>
      </c>
      <c r="I16" s="7" t="str">
        <v>补充参考</v>
      </c>
      <c r="J16" s="7" t="str">
        <v>用户精简清单 T2R003</v>
      </c>
      <c r="K16" s="7" t="str">
        <v>S02 大学校园；第9集起；校园冲突延至22集；大学门口、教学楼前、公共区、食堂；校园长椅、宣传栏、食堂桌椅、餐具、学生背景</v>
      </c>
      <c r="L16" s="7" t="str">
        <v>原文明示</v>
      </c>
      <c r="M16" s="7" t="str">
        <v>不适用</v>
      </c>
      <c r="N16" s="7" t="str">
        <v>需原剧分场复核，清单不能证明完整性</v>
      </c>
      <c r="O16" s="7" t="str"/>
      <c r="P16" s="7" t="str"/>
      <c r="Q16" s="7" t="str">
        <v>有效</v>
      </c>
      <c r="R16" s="7" t="str"/>
    </row>
    <row r="17" ht="70" customHeight="1">
      <c r="A17" s="7" t="str">
        <v>LCV-0013</v>
      </c>
      <c r="B17" s="9" t="str">
        <v>LOC-0013</v>
      </c>
      <c r="C17" s="7" t="str"/>
      <c r="D17" s="7" t="str">
        <v>未明确</v>
      </c>
      <c r="E17" s="7" t="str">
        <v>未明确</v>
      </c>
      <c r="F17" s="7" t="str">
        <v>基准需求；未提供完整初始物理状态</v>
      </c>
      <c r="G17" s="7" t="str">
        <v>未明确，不默认正常/完整</v>
      </c>
      <c r="H17" s="7" t="str">
        <v>第9集起；校园冲突延至22集；无实际分场号</v>
      </c>
      <c r="I17" s="7" t="str">
        <v>补充参考</v>
      </c>
      <c r="J17" s="7" t="str">
        <v>用户精简清单 T2R003</v>
      </c>
      <c r="K17" s="7" t="str">
        <v>S02 大学校园；第9集起；校园冲突延至22集；大学门口、教学楼前、公共区、食堂；校园长椅、宣传栏、食堂桌椅、餐具、学生背景</v>
      </c>
      <c r="L17" s="7" t="str">
        <v>原文明示</v>
      </c>
      <c r="M17" s="7" t="str">
        <v>不适用</v>
      </c>
      <c r="N17" s="7" t="str">
        <v>需原剧分场复核，清单不能证明完整性</v>
      </c>
      <c r="O17" s="7" t="str"/>
      <c r="P17" s="7" t="str"/>
      <c r="Q17" s="7" t="str">
        <v>有效</v>
      </c>
      <c r="R17" s="7" t="str"/>
    </row>
    <row r="18" ht="70" customHeight="1">
      <c r="A18" s="7" t="str">
        <v>LCV-0014</v>
      </c>
      <c r="B18" s="9" t="str">
        <v>LOC-0014</v>
      </c>
      <c r="C18" s="7" t="str"/>
      <c r="D18" s="7" t="str">
        <v>未明确</v>
      </c>
      <c r="E18" s="7" t="str">
        <v>未明确</v>
      </c>
      <c r="F18" s="7" t="str">
        <v>基准需求；未提供完整初始物理状态</v>
      </c>
      <c r="G18" s="7" t="str">
        <v>未明确，不默认正常/完整</v>
      </c>
      <c r="H18" s="7" t="str">
        <v>第1集；无实际分场号</v>
      </c>
      <c r="I18" s="7" t="str">
        <v>补充参考</v>
      </c>
      <c r="J18" s="7" t="str">
        <v>用户精简清单 T2R004</v>
      </c>
      <c r="K18" s="7" t="str">
        <v>S03 国外绑匪基地；第1集；楼顶、地面活动区、绑架位置、撤离区域；烧烤架、桌椅、柱子、酒瓶、地面杂物</v>
      </c>
      <c r="L18" s="7" t="str">
        <v>原文明示</v>
      </c>
      <c r="M18" s="7" t="str">
        <v>不适用</v>
      </c>
      <c r="N18" s="7" t="str">
        <v>需原剧分场复核，清单不能证明完整性</v>
      </c>
      <c r="O18" s="7" t="str"/>
      <c r="P18" s="7" t="str"/>
      <c r="Q18" s="7" t="str">
        <v>有效</v>
      </c>
      <c r="R18" s="7" t="str"/>
    </row>
    <row r="19" ht="70" customHeight="1">
      <c r="A19" s="7" t="str">
        <v>LCV-0015</v>
      </c>
      <c r="B19" s="9" t="str">
        <v>LOC-0015</v>
      </c>
      <c r="C19" s="7" t="str"/>
      <c r="D19" s="7" t="str">
        <v>未明确</v>
      </c>
      <c r="E19" s="7" t="str">
        <v>未明确</v>
      </c>
      <c r="F19" s="7" t="str">
        <v>基准需求；未提供完整初始物理状态</v>
      </c>
      <c r="G19" s="7" t="str">
        <v>未明确，不默认正常/完整</v>
      </c>
      <c r="H19" s="7" t="str">
        <v>第1集；无实际分场号</v>
      </c>
      <c r="I19" s="7" t="str">
        <v>补充参考</v>
      </c>
      <c r="J19" s="7" t="str">
        <v>用户精简清单 T2R004</v>
      </c>
      <c r="K19" s="7" t="str">
        <v>S03 国外绑匪基地；第1集；楼顶、地面活动区、绑架位置、撤离区域；烧烤架、桌椅、柱子、酒瓶、地面杂物</v>
      </c>
      <c r="L19" s="7" t="str">
        <v>原文明示</v>
      </c>
      <c r="M19" s="7" t="str">
        <v>不适用</v>
      </c>
      <c r="N19" s="7" t="str">
        <v>需原剧分场复核，清单不能证明完整性</v>
      </c>
      <c r="O19" s="7" t="str"/>
      <c r="P19" s="7" t="str"/>
      <c r="Q19" s="7" t="str">
        <v>有效</v>
      </c>
      <c r="R19" s="7" t="str"/>
    </row>
    <row r="20" ht="70" customHeight="1">
      <c r="A20" s="7" t="str">
        <v>LCV-0016</v>
      </c>
      <c r="B20" s="9" t="str">
        <v>LOC-0016</v>
      </c>
      <c r="C20" s="7" t="str"/>
      <c r="D20" s="7" t="str">
        <v>未明确</v>
      </c>
      <c r="E20" s="7" t="str">
        <v>未明确</v>
      </c>
      <c r="F20" s="7" t="str">
        <v>基准需求；未提供完整初始物理状态</v>
      </c>
      <c r="G20" s="7" t="str">
        <v>未明确，不默认正常/完整</v>
      </c>
      <c r="H20" s="7" t="str">
        <v>第10—15集；无实际分场号</v>
      </c>
      <c r="I20" s="7" t="str">
        <v>补充参考</v>
      </c>
      <c r="J20" s="7" t="str">
        <v>用户精简清单 T2R005</v>
      </c>
      <c r="K20" s="7" t="str">
        <v>S04 烂尾楼；第10集起至15集；外部、主要交战区域、顶楼审问区域；水泥柱、钢筋、建筑废料、破损墙面</v>
      </c>
      <c r="L20" s="7" t="str">
        <v>原文明示</v>
      </c>
      <c r="M20" s="7" t="str">
        <v>不适用</v>
      </c>
      <c r="N20" s="7" t="str">
        <v>需原剧分场复核，清单不能证明完整性</v>
      </c>
      <c r="O20" s="7" t="str"/>
      <c r="P20" s="7" t="str"/>
      <c r="Q20" s="7" t="str">
        <v>有效</v>
      </c>
      <c r="R20" s="7" t="str"/>
    </row>
    <row r="21" ht="70" customHeight="1">
      <c r="A21" s="7" t="str">
        <v>LCV-0017</v>
      </c>
      <c r="B21" s="9" t="str">
        <v>LOC-0017</v>
      </c>
      <c r="C21" s="7" t="str"/>
      <c r="D21" s="7" t="str">
        <v>未明确</v>
      </c>
      <c r="E21" s="7" t="str">
        <v>未明确</v>
      </c>
      <c r="F21" s="7" t="str">
        <v>基准需求；未提供完整初始物理状态</v>
      </c>
      <c r="G21" s="7" t="str">
        <v>未明确，不默认正常/完整</v>
      </c>
      <c r="H21" s="7" t="str">
        <v>第10—15集；无实际分场号</v>
      </c>
      <c r="I21" s="7" t="str">
        <v>补充参考</v>
      </c>
      <c r="J21" s="7" t="str">
        <v>用户精简清单 T2R005</v>
      </c>
      <c r="K21" s="7" t="str">
        <v>S04 烂尾楼；第10集起至15集；外部、主要交战区域、顶楼审问区域；水泥柱、钢筋、建筑废料、破损墙面</v>
      </c>
      <c r="L21" s="7" t="str">
        <v>原文明示</v>
      </c>
      <c r="M21" s="7" t="str">
        <v>不适用</v>
      </c>
      <c r="N21" s="7" t="str">
        <v>需原剧分场复核，清单不能证明完整性</v>
      </c>
      <c r="O21" s="7" t="str"/>
      <c r="P21" s="7" t="str"/>
      <c r="Q21" s="7" t="str">
        <v>有效</v>
      </c>
      <c r="R21" s="7" t="str"/>
    </row>
    <row r="22" ht="70" customHeight="1">
      <c r="A22" s="7" t="str">
        <v>LCV-0018</v>
      </c>
      <c r="B22" s="9" t="str">
        <v>LOC-0018</v>
      </c>
      <c r="C22" s="7" t="str"/>
      <c r="D22" s="7" t="str">
        <v>未明确</v>
      </c>
      <c r="E22" s="7" t="str">
        <v>未明确</v>
      </c>
      <c r="F22" s="7" t="str">
        <v>基准需求；未提供完整初始物理状态</v>
      </c>
      <c r="G22" s="7" t="str">
        <v>未明确，不默认正常/完整</v>
      </c>
      <c r="H22" s="7" t="str">
        <v>第10—15集；无实际分场号</v>
      </c>
      <c r="I22" s="7" t="str">
        <v>补充参考</v>
      </c>
      <c r="J22" s="7" t="str">
        <v>用户精简清单 T2R005</v>
      </c>
      <c r="K22" s="7" t="str">
        <v>S04 烂尾楼；第10集起至15集；外部、主要交战区域、顶楼审问区域；水泥柱、钢筋、建筑废料、破损墙面</v>
      </c>
      <c r="L22" s="7" t="str">
        <v>原文明示</v>
      </c>
      <c r="M22" s="7" t="str">
        <v>不适用</v>
      </c>
      <c r="N22" s="7" t="str">
        <v>需原剧分场复核，清单不能证明完整性</v>
      </c>
      <c r="O22" s="7" t="str"/>
      <c r="P22" s="7" t="str"/>
      <c r="Q22" s="7" t="str">
        <v>有效</v>
      </c>
      <c r="R22" s="7" t="str"/>
    </row>
    <row r="23" ht="70" customHeight="1">
      <c r="A23" s="7" t="str">
        <v>LCV-0019</v>
      </c>
      <c r="B23" s="9" t="str">
        <v>LOC-0019</v>
      </c>
      <c r="C23" s="7" t="str"/>
      <c r="D23" s="7" t="str">
        <v>未明确</v>
      </c>
      <c r="E23" s="7" t="str">
        <v>未明确</v>
      </c>
      <c r="F23" s="7" t="str">
        <v>基准需求；未提供完整初始物理状态</v>
      </c>
      <c r="G23" s="7" t="str">
        <v>未明确，不默认正常/完整</v>
      </c>
      <c r="H23" s="7" t="str">
        <v>第23—27集；关联段落到28集；无实际分场号</v>
      </c>
      <c r="I23" s="7" t="str">
        <v>补充参考</v>
      </c>
      <c r="J23" s="7" t="str">
        <v>用户精简清单 T2R006</v>
      </c>
      <c r="K23" s="7" t="str">
        <v>S05 废弃工厂；第23集起至27集；大门、厂房大厅、废料堆、主打斗空地；旧机器、工业架、废料、散落物料</v>
      </c>
      <c r="L23" s="7" t="str">
        <v>原文明示</v>
      </c>
      <c r="M23" s="7" t="str">
        <v>不适用</v>
      </c>
      <c r="N23" s="7" t="str">
        <v>需原剧分场复核，清单不能证明完整性</v>
      </c>
      <c r="O23" s="7" t="str"/>
      <c r="P23" s="7" t="str"/>
      <c r="Q23" s="7" t="str">
        <v>有效</v>
      </c>
      <c r="R23" s="7" t="str"/>
    </row>
    <row r="24" ht="70" customHeight="1">
      <c r="A24" s="7" t="str">
        <v>LCV-0020</v>
      </c>
      <c r="B24" s="9" t="str">
        <v>LOC-0020</v>
      </c>
      <c r="C24" s="7" t="str"/>
      <c r="D24" s="7" t="str">
        <v>未明确</v>
      </c>
      <c r="E24" s="7" t="str">
        <v>未明确</v>
      </c>
      <c r="F24" s="7" t="str">
        <v>基准需求；未提供完整初始物理状态</v>
      </c>
      <c r="G24" s="7" t="str">
        <v>未明确，不默认正常/完整</v>
      </c>
      <c r="H24" s="7" t="str">
        <v>第23—27集；关联段落到28集；无实际分场号</v>
      </c>
      <c r="I24" s="7" t="str">
        <v>补充参考</v>
      </c>
      <c r="J24" s="7" t="str">
        <v>用户精简清单 T2R006</v>
      </c>
      <c r="K24" s="7" t="str">
        <v>S05 废弃工厂；第23集起至27集；大门、厂房大厅、废料堆、主打斗空地；旧机器、工业架、废料、散落物料</v>
      </c>
      <c r="L24" s="7" t="str">
        <v>原文明示</v>
      </c>
      <c r="M24" s="7" t="str">
        <v>不适用</v>
      </c>
      <c r="N24" s="7" t="str">
        <v>需原剧分场复核，清单不能证明完整性</v>
      </c>
      <c r="O24" s="7" t="str"/>
      <c r="P24" s="7" t="str"/>
      <c r="Q24" s="7" t="str">
        <v>有效</v>
      </c>
      <c r="R24" s="7" t="str"/>
    </row>
    <row r="25" ht="70" customHeight="1">
      <c r="A25" s="7" t="str">
        <v>LCV-0021</v>
      </c>
      <c r="B25" s="9" t="str">
        <v>LOC-0021</v>
      </c>
      <c r="C25" s="7" t="str"/>
      <c r="D25" s="7" t="str">
        <v>未明确</v>
      </c>
      <c r="E25" s="7" t="str">
        <v>未明确</v>
      </c>
      <c r="F25" s="7" t="str">
        <v>基准需求；未提供完整初始物理状态</v>
      </c>
      <c r="G25" s="7" t="str">
        <v>未明确，不默认正常/完整</v>
      </c>
      <c r="H25" s="7" t="str">
        <v>第34—41集；无实际分场号</v>
      </c>
      <c r="I25" s="7" t="str">
        <v>补充参考</v>
      </c>
      <c r="J25" s="7" t="str">
        <v>用户精简清单 T2R007</v>
      </c>
      <c r="K25" s="7" t="str">
        <v>S06 私人会所；第34集起至41集；门外、内部大厅、中央首位、两侧座席、出入口；会所桌椅、茶桌、主位座椅、装饰和照明</v>
      </c>
      <c r="L25" s="7" t="str">
        <v>原文明示</v>
      </c>
      <c r="M25" s="7" t="str">
        <v>不适用</v>
      </c>
      <c r="N25" s="7" t="str">
        <v>需原剧分场复核，清单不能证明完整性</v>
      </c>
      <c r="O25" s="7" t="str"/>
      <c r="P25" s="7" t="str"/>
      <c r="Q25" s="7" t="str">
        <v>有效</v>
      </c>
      <c r="R25" s="7" t="str"/>
    </row>
    <row r="26" ht="70" customHeight="1">
      <c r="A26" s="7" t="str">
        <v>LCV-0022</v>
      </c>
      <c r="B26" s="9" t="str">
        <v>LOC-0022</v>
      </c>
      <c r="C26" s="7" t="str"/>
      <c r="D26" s="7" t="str">
        <v>未明确</v>
      </c>
      <c r="E26" s="7" t="str">
        <v>未明确</v>
      </c>
      <c r="F26" s="7" t="str">
        <v>基准需求；未提供完整初始物理状态</v>
      </c>
      <c r="G26" s="7" t="str">
        <v>未明确，不默认正常/完整</v>
      </c>
      <c r="H26" s="7" t="str">
        <v>第34—41集；无实际分场号</v>
      </c>
      <c r="I26" s="7" t="str">
        <v>补充参考</v>
      </c>
      <c r="J26" s="7" t="str">
        <v>用户精简清单 T2R007</v>
      </c>
      <c r="K26" s="7" t="str">
        <v>S06 私人会所；第34集起至41集；门外、内部大厅、中央首位、两侧座席、出入口；会所桌椅、茶桌、主位座椅、装饰和照明</v>
      </c>
      <c r="L26" s="7" t="str">
        <v>原文明示</v>
      </c>
      <c r="M26" s="7" t="str">
        <v>不适用</v>
      </c>
      <c r="N26" s="7" t="str">
        <v>需原剧分场复核，清单不能证明完整性</v>
      </c>
      <c r="O26" s="7" t="str"/>
      <c r="P26" s="7" t="str"/>
      <c r="Q26" s="7" t="str">
        <v>有效</v>
      </c>
      <c r="R26" s="7" t="str"/>
    </row>
    <row r="27" ht="70" customHeight="1">
      <c r="A27" s="7" t="str">
        <v>LCV-0023</v>
      </c>
      <c r="B27" s="9" t="str">
        <v>LOC-0023</v>
      </c>
      <c r="C27" s="7" t="str"/>
      <c r="D27" s="7" t="str">
        <v>未明确</v>
      </c>
      <c r="E27" s="7" t="str">
        <v>未明确</v>
      </c>
      <c r="F27" s="7" t="str">
        <v>基准需求；未提供完整初始物理状态</v>
      </c>
      <c r="G27" s="7" t="str">
        <v>未明确，不默认正常/完整</v>
      </c>
      <c r="H27" s="7" t="str">
        <v>第42—51集；无实际分场号</v>
      </c>
      <c r="I27" s="7" t="str">
        <v>补充参考</v>
      </c>
      <c r="J27" s="7" t="str">
        <v>用户精简清单 T2R008</v>
      </c>
      <c r="K27" s="7" t="str">
        <v>S07 裁决殿；第42集起至51集；大殿、裁决高台、台阶、两侧门、殿外；石柱、固定台座、座椅、灯具、殿内纹饰</v>
      </c>
      <c r="L27" s="7" t="str">
        <v>原文明示</v>
      </c>
      <c r="M27" s="7" t="str">
        <v>不适用</v>
      </c>
      <c r="N27" s="7" t="str">
        <v>需原剧分场复核，清单不能证明完整性</v>
      </c>
      <c r="O27" s="7" t="str"/>
      <c r="P27" s="7" t="str"/>
      <c r="Q27" s="7" t="str">
        <v>有效</v>
      </c>
      <c r="R27" s="7" t="str"/>
    </row>
    <row r="28" ht="70" customHeight="1">
      <c r="A28" s="7" t="str">
        <v>LCV-0024</v>
      </c>
      <c r="B28" s="9" t="str">
        <v>LOC-0024</v>
      </c>
      <c r="C28" s="7" t="str"/>
      <c r="D28" s="7" t="str">
        <v>未明确</v>
      </c>
      <c r="E28" s="7" t="str">
        <v>未明确</v>
      </c>
      <c r="F28" s="7" t="str">
        <v>基准需求；未提供完整初始物理状态</v>
      </c>
      <c r="G28" s="7" t="str">
        <v>未明确，不默认正常/完整</v>
      </c>
      <c r="H28" s="7" t="str">
        <v>第42—51集；无实际分场号</v>
      </c>
      <c r="I28" s="7" t="str">
        <v>补充参考</v>
      </c>
      <c r="J28" s="7" t="str">
        <v>用户精简清单 T2R008</v>
      </c>
      <c r="K28" s="7" t="str">
        <v>S07 裁决殿；第42集起至51集；大殿、裁决高台、台阶、两侧门、殿外；石柱、固定台座、座椅、灯具、殿内纹饰</v>
      </c>
      <c r="L28" s="7" t="str">
        <v>原文明示</v>
      </c>
      <c r="M28" s="7" t="str">
        <v>不适用</v>
      </c>
      <c r="N28" s="7" t="str">
        <v>需原剧分场复核，清单不能证明完整性</v>
      </c>
      <c r="O28" s="7" t="str"/>
      <c r="P28" s="7" t="str"/>
      <c r="Q28" s="7" t="str">
        <v>有效</v>
      </c>
      <c r="R28" s="7" t="str"/>
    </row>
    <row r="29" ht="55" customHeight="1">
      <c r="A29" s="7" t="str">
        <v>LCV-0025</v>
      </c>
      <c r="B29" s="9" t="str">
        <v>LOC-0025</v>
      </c>
      <c r="C29" s="7" t="str"/>
      <c r="D29" s="7" t="str">
        <v>未明确</v>
      </c>
      <c r="E29" s="7" t="str">
        <v>未明确</v>
      </c>
      <c r="F29" s="7" t="str">
        <v>基准需求；未提供完整初始物理状态</v>
      </c>
      <c r="G29" s="7" t="str">
        <v>未明确，不默认正常/完整</v>
      </c>
      <c r="H29" s="7" t="str">
        <v>第2—3集；无实际分场号</v>
      </c>
      <c r="I29" s="7" t="str">
        <v>补充参考</v>
      </c>
      <c r="J29" s="7" t="str">
        <v>用户精简清单 T3R002</v>
      </c>
      <c r="K29" s="7" t="str">
        <v>S08 咖啡馆；第2—3集；室内卡座和门口采访区共用一家咖啡馆；门口使用同一外立面</v>
      </c>
      <c r="L29" s="7" t="str">
        <v>原文明示</v>
      </c>
      <c r="M29" s="7" t="str">
        <v>不适用</v>
      </c>
      <c r="N29" s="7" t="str">
        <v>需原剧分场复核，清单不能证明完整性</v>
      </c>
      <c r="O29" s="7" t="str"/>
      <c r="P29" s="7" t="str"/>
      <c r="Q29" s="7" t="str">
        <v>有效</v>
      </c>
      <c r="R29" s="7" t="str"/>
    </row>
    <row r="30" ht="55" customHeight="1">
      <c r="A30" s="7" t="str">
        <v>LCV-0026</v>
      </c>
      <c r="B30" s="9" t="str">
        <v>LOC-0026</v>
      </c>
      <c r="C30" s="7" t="str"/>
      <c r="D30" s="7" t="str">
        <v>未明确</v>
      </c>
      <c r="E30" s="7" t="str">
        <v>未明确</v>
      </c>
      <c r="F30" s="7" t="str">
        <v>基准需求；未提供完整初始物理状态</v>
      </c>
      <c r="G30" s="7" t="str">
        <v>未明确，不默认正常/完整</v>
      </c>
      <c r="H30" s="7" t="str">
        <v>第2—3集；无实际分场号</v>
      </c>
      <c r="I30" s="7" t="str">
        <v>补充参考</v>
      </c>
      <c r="J30" s="7" t="str">
        <v>用户精简清单 T3R002</v>
      </c>
      <c r="K30" s="7" t="str">
        <v>S08 咖啡馆；第2—3集；室内卡座和门口采访区共用一家咖啡馆；门口使用同一外立面</v>
      </c>
      <c r="L30" s="7" t="str">
        <v>原文明示</v>
      </c>
      <c r="M30" s="7" t="str">
        <v>不适用</v>
      </c>
      <c r="N30" s="7" t="str">
        <v>需原剧分场复核，清单不能证明完整性</v>
      </c>
      <c r="O30" s="7" t="str"/>
      <c r="P30" s="7" t="str"/>
      <c r="Q30" s="7" t="str">
        <v>有效</v>
      </c>
      <c r="R30" s="7" t="str"/>
    </row>
    <row r="31" ht="55" customHeight="1">
      <c r="A31" s="7" t="str">
        <v>LCV-0027</v>
      </c>
      <c r="B31" s="9" t="str">
        <v>LOC-0027</v>
      </c>
      <c r="C31" s="7" t="str"/>
      <c r="D31" s="7" t="str">
        <v>未明确</v>
      </c>
      <c r="E31" s="7" t="str">
        <v>未明确</v>
      </c>
      <c r="F31" s="7" t="str">
        <v>基准需求；未提供完整初始物理状态</v>
      </c>
      <c r="G31" s="7" t="str">
        <v>未明确，不默认正常/完整</v>
      </c>
      <c r="H31" s="7" t="str">
        <v>第3—5集；无实际分场号</v>
      </c>
      <c r="I31" s="7" t="str">
        <v>补充参考</v>
      </c>
      <c r="J31" s="7" t="str">
        <v>用户精简清单 T3R003</v>
      </c>
      <c r="K31" s="7" t="str">
        <v>S09 商场；第3—5集；一个连续公共通道，必要时按镜头扩展店面、走廊</v>
      </c>
      <c r="L31" s="7" t="str">
        <v>原文明示</v>
      </c>
      <c r="M31" s="7" t="str">
        <v>不适用</v>
      </c>
      <c r="N31" s="7" t="str">
        <v>需原剧分场复核，清单不能证明完整性</v>
      </c>
      <c r="O31" s="7" t="str"/>
      <c r="P31" s="7" t="str"/>
      <c r="Q31" s="7" t="str">
        <v>有效</v>
      </c>
      <c r="R31" s="7" t="str"/>
    </row>
    <row r="32" ht="55" customHeight="1">
      <c r="A32" s="7" t="str">
        <v>LCV-0028</v>
      </c>
      <c r="B32" s="9" t="str">
        <v>LOC-0028</v>
      </c>
      <c r="C32" s="7" t="str"/>
      <c r="D32" s="7" t="str">
        <v>未明确</v>
      </c>
      <c r="E32" s="7" t="str">
        <v>未明确</v>
      </c>
      <c r="F32" s="7" t="str">
        <v>基准需求；未提供完整初始物理状态</v>
      </c>
      <c r="G32" s="7" t="str">
        <v>未明确，不默认正常/完整</v>
      </c>
      <c r="H32" s="7" t="str">
        <v>第4集闪回；无实际分场号</v>
      </c>
      <c r="I32" s="7" t="str">
        <v>补充参考</v>
      </c>
      <c r="J32" s="7" t="str">
        <v>用户精简清单 T3R004</v>
      </c>
      <c r="K32" s="7" t="str">
        <v>S10 少年江辰的家；第4集闪回；书房与密室必须通过墙上观察孔关联，不能分成无关场景</v>
      </c>
      <c r="L32" s="7" t="str">
        <v>原文明示</v>
      </c>
      <c r="M32" s="7" t="str">
        <v>不适用</v>
      </c>
      <c r="N32" s="7" t="str">
        <v>需原剧分场复核，清单不能证明完整性</v>
      </c>
      <c r="O32" s="7" t="str"/>
      <c r="P32" s="7" t="str"/>
      <c r="Q32" s="7" t="str">
        <v>有效</v>
      </c>
      <c r="R32" s="7" t="str"/>
    </row>
    <row r="33" ht="55" customHeight="1">
      <c r="A33" s="7" t="str">
        <v>LCV-0029</v>
      </c>
      <c r="B33" s="9" t="str">
        <v>LOC-0029</v>
      </c>
      <c r="C33" s="7" t="str"/>
      <c r="D33" s="7" t="str">
        <v>未明确</v>
      </c>
      <c r="E33" s="7" t="str">
        <v>未明确</v>
      </c>
      <c r="F33" s="7" t="str">
        <v>基准需求；未提供完整初始物理状态</v>
      </c>
      <c r="G33" s="7" t="str">
        <v>未明确，不默认正常/完整</v>
      </c>
      <c r="H33" s="7" t="str">
        <v>第4集闪回；无实际分场号</v>
      </c>
      <c r="I33" s="7" t="str">
        <v>补充参考</v>
      </c>
      <c r="J33" s="7" t="str">
        <v>用户精简清单 T3R004</v>
      </c>
      <c r="K33" s="7" t="str">
        <v>S10 少年江辰的家；第4集闪回；书房与密室必须通过墙上观察孔关联，不能分成无关场景</v>
      </c>
      <c r="L33" s="7" t="str">
        <v>原文明示</v>
      </c>
      <c r="M33" s="7" t="str">
        <v>不适用</v>
      </c>
      <c r="N33" s="7" t="str">
        <v>需原剧分场复核，清单不能证明完整性</v>
      </c>
      <c r="O33" s="7" t="str"/>
      <c r="P33" s="7" t="str"/>
      <c r="Q33" s="7" t="str">
        <v>有效</v>
      </c>
      <c r="R33" s="7" t="str"/>
    </row>
    <row r="34" ht="55" customHeight="1">
      <c r="A34" s="7" t="str">
        <v>LCV-0030</v>
      </c>
      <c r="B34" s="9" t="str">
        <v>LOC-0030</v>
      </c>
      <c r="C34" s="7" t="str"/>
      <c r="D34" s="7" t="str">
        <v>未明确</v>
      </c>
      <c r="E34" s="7" t="str">
        <v>未明确</v>
      </c>
      <c r="F34" s="7" t="str">
        <v>基准需求；未提供完整初始物理状态</v>
      </c>
      <c r="G34" s="7" t="str">
        <v>未明确，不默认正常/完整</v>
      </c>
      <c r="H34" s="7" t="str">
        <v>第6、9集；无实际分场号</v>
      </c>
      <c r="I34" s="7" t="str">
        <v>补充参考</v>
      </c>
      <c r="J34" s="7" t="str">
        <v>用户精简清单 T3R005</v>
      </c>
      <c r="K34" s="7" t="str">
        <v>S11 张阎王家；第6、9集；“张阎王家”与“别墅大厅”合并；沙发、茶几融入场景</v>
      </c>
      <c r="L34" s="7" t="str">
        <v>原文明示</v>
      </c>
      <c r="M34" s="7" t="str">
        <v>不适用</v>
      </c>
      <c r="N34" s="7" t="str">
        <v>需原剧分场复核，清单不能证明完整性</v>
      </c>
      <c r="O34" s="7" t="str"/>
      <c r="P34" s="7" t="str"/>
      <c r="Q34" s="7" t="str">
        <v>有效</v>
      </c>
      <c r="R34" s="7" t="str"/>
    </row>
    <row r="35" ht="85" customHeight="1">
      <c r="A35" s="7" t="str">
        <v>LCV-0031</v>
      </c>
      <c r="B35" s="9" t="str">
        <v>LOC-0031</v>
      </c>
      <c r="C35" s="7" t="str"/>
      <c r="D35" s="7" t="str">
        <v>未明确</v>
      </c>
      <c r="E35" s="7" t="str">
        <v>未明确</v>
      </c>
      <c r="F35" s="7" t="str">
        <v>基准需求；未提供完整初始物理状态</v>
      </c>
      <c r="G35" s="7" t="str">
        <v>未明确，不默认正常/完整</v>
      </c>
      <c r="H35" s="7" t="str">
        <v>第22、29、53集；三者与集数对应未明确；无实际分场号</v>
      </c>
      <c r="I35" s="7" t="str">
        <v>补充参考</v>
      </c>
      <c r="J35" s="7" t="str">
        <v>用户精简清单 P039</v>
      </c>
      <c r="K35" s="7" t="str">
        <v>3. 银女修炼密室、鲨鱼会议密室、神秘面具女性所在密室是否为同一实际地点，剧本未明确说明；在制作资产时可复用美术设计，但不能擅自认定为同一个房间。</v>
      </c>
      <c r="L35" s="7" t="str">
        <v>合理推断</v>
      </c>
      <c r="M35" s="7" t="str">
        <v>待确认</v>
      </c>
      <c r="N35" s="7" t="str">
        <v>需原剧分场复核，清单不能证明完整性</v>
      </c>
      <c r="O35" s="7" t="str"/>
      <c r="P35" s="7" t="str"/>
      <c r="Q35" s="7" t="str">
        <v>有效</v>
      </c>
      <c r="R35" s="7" t="str"/>
    </row>
    <row r="36" ht="85" customHeight="1">
      <c r="A36" s="7" t="str">
        <v>LCV-0032</v>
      </c>
      <c r="B36" s="9" t="str">
        <v>LOC-0032</v>
      </c>
      <c r="C36" s="7" t="str"/>
      <c r="D36" s="7" t="str">
        <v>未明确</v>
      </c>
      <c r="E36" s="7" t="str">
        <v>未明确</v>
      </c>
      <c r="F36" s="7" t="str">
        <v>基准需求；未提供完整初始物理状态</v>
      </c>
      <c r="G36" s="7" t="str">
        <v>未明确，不默认正常/完整</v>
      </c>
      <c r="H36" s="7" t="str">
        <v>第22、29、53集；三者与集数对应未明确；无实际分场号</v>
      </c>
      <c r="I36" s="7" t="str">
        <v>补充参考</v>
      </c>
      <c r="J36" s="7" t="str">
        <v>用户精简清单 P039</v>
      </c>
      <c r="K36" s="7" t="str">
        <v>3. 银女修炼密室、鲨鱼会议密室、神秘面具女性所在密室是否为同一实际地点，剧本未明确说明；在制作资产时可复用美术设计，但不能擅自认定为同一个房间。</v>
      </c>
      <c r="L36" s="7" t="str">
        <v>合理推断</v>
      </c>
      <c r="M36" s="7" t="str">
        <v>待确认</v>
      </c>
      <c r="N36" s="7" t="str">
        <v>需原剧分场复核，清单不能证明完整性</v>
      </c>
      <c r="O36" s="7" t="str"/>
      <c r="P36" s="7" t="str"/>
      <c r="Q36" s="7" t="str">
        <v>有效</v>
      </c>
      <c r="R36" s="7" t="str"/>
    </row>
    <row r="37" ht="85" customHeight="1">
      <c r="A37" s="7" t="str">
        <v>LCV-0033</v>
      </c>
      <c r="B37" s="9" t="str">
        <v>LOC-0033</v>
      </c>
      <c r="C37" s="7" t="str"/>
      <c r="D37" s="7" t="str">
        <v>未明确</v>
      </c>
      <c r="E37" s="7" t="str">
        <v>未明确</v>
      </c>
      <c r="F37" s="7" t="str">
        <v>基准需求；未提供完整初始物理状态</v>
      </c>
      <c r="G37" s="7" t="str">
        <v>未明确，不默认正常/完整</v>
      </c>
      <c r="H37" s="7" t="str">
        <v>第22、29、53集；三者与集数对应未明确；无实际分场号</v>
      </c>
      <c r="I37" s="7" t="str">
        <v>补充参考</v>
      </c>
      <c r="J37" s="7" t="str">
        <v>用户精简清单 P039</v>
      </c>
      <c r="K37" s="7" t="str">
        <v>3. 银女修炼密室、鲨鱼会议密室、神秘面具女性所在密室是否为同一实际地点，剧本未明确说明；在制作资产时可复用美术设计，但不能擅自认定为同一个房间。</v>
      </c>
      <c r="L37" s="7" t="str">
        <v>合理推断</v>
      </c>
      <c r="M37" s="7" t="str">
        <v>待确认</v>
      </c>
      <c r="N37" s="7" t="str">
        <v>需原剧分场复核，清单不能证明完整性</v>
      </c>
      <c r="O37" s="7" t="str"/>
      <c r="P37" s="7" t="str"/>
      <c r="Q37" s="7" t="str">
        <v>有效</v>
      </c>
      <c r="R37" s="7" t="str"/>
    </row>
    <row r="38" ht="55" customHeight="1">
      <c r="A38" s="7" t="str">
        <v>LCV-0034</v>
      </c>
      <c r="B38" s="9" t="str">
        <v>LOC-0034</v>
      </c>
      <c r="C38" s="7" t="str"/>
      <c r="D38" s="7" t="str">
        <v>未明确</v>
      </c>
      <c r="E38" s="7" t="str">
        <v>未明确</v>
      </c>
      <c r="F38" s="7" t="str">
        <v>基准需求；未提供完整初始物理状态</v>
      </c>
      <c r="G38" s="7" t="str">
        <v>未明确，不默认正常/完整</v>
      </c>
      <c r="H38" s="7" t="str">
        <v>第28—31集；无实际分场号</v>
      </c>
      <c r="I38" s="7" t="str">
        <v>补充参考</v>
      </c>
      <c r="J38" s="7" t="str">
        <v>用户精简清单 T3R007</v>
      </c>
      <c r="K38" s="7" t="str">
        <v>S13 医院；第28—31集；手术室门口和病房作为两个实际子空间，装修语言统一</v>
      </c>
      <c r="L38" s="7" t="str">
        <v>原文明示</v>
      </c>
      <c r="M38" s="7" t="str">
        <v>不适用</v>
      </c>
      <c r="N38" s="7" t="str">
        <v>需原剧分场复核，清单不能证明完整性</v>
      </c>
      <c r="O38" s="7" t="str"/>
      <c r="P38" s="7" t="str"/>
      <c r="Q38" s="7" t="str">
        <v>有效</v>
      </c>
      <c r="R38" s="7" t="str"/>
    </row>
    <row r="39" ht="55" customHeight="1">
      <c r="A39" s="7" t="str">
        <v>LCV-0035</v>
      </c>
      <c r="B39" s="9" t="str">
        <v>LOC-0035</v>
      </c>
      <c r="C39" s="7" t="str"/>
      <c r="D39" s="7" t="str">
        <v>未明确</v>
      </c>
      <c r="E39" s="7" t="str">
        <v>未明确</v>
      </c>
      <c r="F39" s="7" t="str">
        <v>基准需求；未提供完整初始物理状态</v>
      </c>
      <c r="G39" s="7" t="str">
        <v>未明确，不默认正常/完整</v>
      </c>
      <c r="H39" s="7" t="str">
        <v>第28—31集；无实际分场号</v>
      </c>
      <c r="I39" s="7" t="str">
        <v>补充参考</v>
      </c>
      <c r="J39" s="7" t="str">
        <v>用户精简清单 T3R007</v>
      </c>
      <c r="K39" s="7" t="str">
        <v>S13 医院；第28—31集；手术室门口和病房作为两个实际子空间，装修语言统一</v>
      </c>
      <c r="L39" s="7" t="str">
        <v>原文明示</v>
      </c>
      <c r="M39" s="7" t="str">
        <v>不适用</v>
      </c>
      <c r="N39" s="7" t="str">
        <v>需原剧分场复核，清单不能证明完整性</v>
      </c>
      <c r="O39" s="7" t="str"/>
      <c r="P39" s="7" t="str"/>
      <c r="Q39" s="7" t="str">
        <v>有效</v>
      </c>
      <c r="R39" s="7" t="str"/>
    </row>
    <row r="40" ht="55" customHeight="1">
      <c r="A40" s="7" t="str">
        <v>LCV-0036</v>
      </c>
      <c r="B40" s="9" t="str">
        <v>LOC-0036</v>
      </c>
      <c r="C40" s="7" t="str"/>
      <c r="D40" s="7" t="str">
        <v>未明确</v>
      </c>
      <c r="E40" s="7" t="str">
        <v>未明确</v>
      </c>
      <c r="F40" s="7" t="str">
        <v>基准需求；未提供完整初始物理状态</v>
      </c>
      <c r="G40" s="7" t="str">
        <v>未明确，不默认正常/完整</v>
      </c>
      <c r="H40" s="7" t="str">
        <v>第31—32集；无实际分场号</v>
      </c>
      <c r="I40" s="7" t="str">
        <v>补充参考</v>
      </c>
      <c r="J40" s="7" t="str">
        <v>用户精简清单 T3R008</v>
      </c>
      <c r="K40" s="7" t="str">
        <v>S14 墓地；第31—32集；无名合葬墓和周边墓道构成固定构图；雨天为环境状态</v>
      </c>
      <c r="L40" s="7" t="str">
        <v>原文明示</v>
      </c>
      <c r="M40" s="7" t="str">
        <v>不适用</v>
      </c>
      <c r="N40" s="7" t="str">
        <v>需原剧分场复核，清单不能证明完整性</v>
      </c>
      <c r="O40" s="7" t="str"/>
      <c r="P40" s="7" t="str"/>
      <c r="Q40" s="7" t="str">
        <v>有效</v>
      </c>
      <c r="R40" s="7" t="str"/>
    </row>
    <row r="41" ht="70" customHeight="1">
      <c r="A41" s="7" t="str">
        <v>LCV-0037</v>
      </c>
      <c r="B41" s="9" t="str">
        <v>LOC-0037</v>
      </c>
      <c r="C41" s="7" t="str"/>
      <c r="D41" s="7" t="str">
        <v>未明确</v>
      </c>
      <c r="E41" s="7" t="str">
        <v>未明确</v>
      </c>
      <c r="F41" s="7" t="str">
        <v>基准需求；未提供完整初始物理状态</v>
      </c>
      <c r="G41" s="7" t="str">
        <v>未明确，不默认正常/完整</v>
      </c>
      <c r="H41" s="7" t="str">
        <v>第27—28集；无实际分场号</v>
      </c>
      <c r="I41" s="7" t="str">
        <v>补充参考</v>
      </c>
      <c r="J41" s="7" t="str">
        <v>用户精简清单 T4R003</v>
      </c>
      <c r="K41" s="7" t="str">
        <v>T02 野外空地；第27—28集；建立一个地形参考画面即可；审问与伏击连续戏需锁定树木、人物站位和射击方向。</v>
      </c>
      <c r="L41" s="7" t="str">
        <v>原文明示</v>
      </c>
      <c r="M41" s="7" t="str">
        <v>不适用</v>
      </c>
      <c r="N41" s="7" t="str">
        <v>需原剧分场复核，清单不能证明完整性</v>
      </c>
      <c r="O41" s="7" t="str"/>
      <c r="P41" s="7" t="str"/>
      <c r="Q41" s="7" t="str">
        <v>有效</v>
      </c>
      <c r="R41" s="7" t="str"/>
    </row>
    <row r="42" ht="70" customHeight="1">
      <c r="A42" s="7" t="str">
        <v>LCV-0038</v>
      </c>
      <c r="B42" s="9" t="str">
        <v>LOC-0008</v>
      </c>
      <c r="C42" s="9" t="str">
        <v>LCV-0008</v>
      </c>
      <c r="D42" s="7" t="str">
        <v>白天；具体光照未明</v>
      </c>
      <c r="E42" s="7" t="str">
        <v>未明确</v>
      </c>
      <c r="F42" s="7" t="str">
        <v>建筑与院子基准不变</v>
      </c>
      <c r="G42" s="7" t="str">
        <v>基准→建筑与院子基准不变</v>
      </c>
      <c r="H42" s="7" t="str">
        <v>具体集场未明确</v>
      </c>
      <c r="I42" s="7" t="str">
        <v>补充参考</v>
      </c>
      <c r="J42" s="7" t="str">
        <v>用户精简清单 T5R002</v>
      </c>
      <c r="K42" s="7" t="str">
        <v>苏家别墅；大厅/客厅/餐厅/卧室/走廊/院子；卧室各自为独立物理房间；卧室阳台能看到院子；院子需白天、夜间、订婚版，建筑不变</v>
      </c>
      <c r="L42" s="7" t="str">
        <v>原文明示</v>
      </c>
      <c r="M42" s="7" t="str">
        <v>不适用</v>
      </c>
      <c r="N42" s="7" t="str">
        <v>需原剧分场复核，清单不能证明完整性</v>
      </c>
      <c r="O42" s="7" t="str"/>
      <c r="P42" s="7" t="str"/>
      <c r="Q42" s="7" t="str">
        <v>有效</v>
      </c>
      <c r="R42" s="7" t="str"/>
    </row>
    <row r="43" ht="70" customHeight="1">
      <c r="A43" s="7" t="str">
        <v>LCV-0039</v>
      </c>
      <c r="B43" s="9" t="str">
        <v>LOC-0008</v>
      </c>
      <c r="C43" s="9" t="str">
        <v>LCV-0008</v>
      </c>
      <c r="D43" s="7" t="str">
        <v>夜间；具体光照未明</v>
      </c>
      <c r="E43" s="7" t="str">
        <v>未明确</v>
      </c>
      <c r="F43" s="7" t="str">
        <v>同一院子夜景，不更换建筑</v>
      </c>
      <c r="G43" s="7" t="str">
        <v>基准→同一院子夜景，不更换建筑</v>
      </c>
      <c r="H43" s="7" t="str">
        <v>具体集场未明确</v>
      </c>
      <c r="I43" s="7" t="str">
        <v>补充参考</v>
      </c>
      <c r="J43" s="7" t="str">
        <v>用户精简清单 T5R002</v>
      </c>
      <c r="K43" s="7" t="str">
        <v>苏家别墅；大厅/客厅/餐厅/卧室/走廊/院子；卧室各自为独立物理房间；卧室阳台能看到院子；院子需白天、夜间、订婚版，建筑不变</v>
      </c>
      <c r="L43" s="7" t="str">
        <v>原文明示</v>
      </c>
      <c r="M43" s="7" t="str">
        <v>不适用</v>
      </c>
      <c r="N43" s="7" t="str">
        <v>需原剧分场复核，清单不能证明完整性</v>
      </c>
      <c r="O43" s="7" t="str"/>
      <c r="P43" s="7" t="str"/>
      <c r="Q43" s="7" t="str">
        <v>有效</v>
      </c>
      <c r="R43" s="7" t="str"/>
    </row>
    <row r="44" ht="55" customHeight="1">
      <c r="A44" s="7" t="str">
        <v>LCV-0040</v>
      </c>
      <c r="B44" s="9" t="str">
        <v>LOC-0008</v>
      </c>
      <c r="C44" s="9" t="str">
        <v>LCV-0008</v>
      </c>
      <c r="D44" s="7" t="str">
        <v>未明确</v>
      </c>
      <c r="E44" s="7" t="str">
        <v>未明确</v>
      </c>
      <c r="F44" s="7" t="str">
        <v>叠加鲜花、迎宾与礼仪陈设；别墅不变</v>
      </c>
      <c r="G44" s="7" t="str">
        <v>基准→叠加鲜花、迎宾与礼仪陈设；别墅不变</v>
      </c>
      <c r="H44" s="7" t="str">
        <v>第53—60集关联；逐场待核</v>
      </c>
      <c r="I44" s="7" t="str">
        <v>补充参考</v>
      </c>
      <c r="J44" s="7" t="str">
        <v>用户精简清单 T6R013</v>
      </c>
      <c r="K44" s="7" t="str">
        <v>苏家订婚院子；鲜花装饰、迎宾布置、礼仪陈设；在原院子上叠加，不能换一栋别墅</v>
      </c>
      <c r="L44" s="7" t="str">
        <v>原文明示</v>
      </c>
      <c r="M44" s="7" t="str">
        <v>不适用</v>
      </c>
      <c r="N44" s="7" t="str">
        <v>需原剧分场复核，清单不能证明完整性</v>
      </c>
      <c r="O44" s="7" t="str"/>
      <c r="P44" s="7" t="str"/>
      <c r="Q44" s="7" t="str">
        <v>有效</v>
      </c>
      <c r="R44" s="7" t="str"/>
    </row>
    <row r="45" ht="55" customHeight="1">
      <c r="A45" s="7" t="str">
        <v>LCV-0041</v>
      </c>
      <c r="B45" s="9" t="str">
        <v>LOC-0036</v>
      </c>
      <c r="C45" s="9" t="str">
        <v>LCV-0036</v>
      </c>
      <c r="D45" s="7" t="str">
        <v>未明确</v>
      </c>
      <c r="E45" s="7" t="str">
        <v>雨天</v>
      </c>
      <c r="F45" s="7" t="str">
        <v>同一墓地雨天环境；雨强与地面湿润程度未明</v>
      </c>
      <c r="G45" s="7" t="str">
        <v>基准→同一墓地雨天环境；雨强与地面湿润程度未明</v>
      </c>
      <c r="H45" s="7" t="str">
        <v>第31—32集；具体场次未明</v>
      </c>
      <c r="I45" s="7" t="str">
        <v>补充参考</v>
      </c>
      <c r="J45" s="7" t="str">
        <v>用户精简清单 T3R008</v>
      </c>
      <c r="K45" s="7" t="str">
        <v>S14 墓地；第31—32集；无名合葬墓和周边墓道构成固定构图；雨天为环境状态</v>
      </c>
      <c r="L45" s="7" t="str">
        <v>原文明示</v>
      </c>
      <c r="M45" s="7" t="str">
        <v>不适用</v>
      </c>
      <c r="N45" s="7" t="str">
        <v>需原剧分场复核，清单不能证明完整性</v>
      </c>
      <c r="O45" s="7" t="str"/>
      <c r="P45" s="7" t="str"/>
      <c r="Q45" s="7" t="str">
        <v>有效</v>
      </c>
      <c r="R45" s="7" t="str"/>
    </row>
    <row r="46" ht="48" customHeight="1">
      <c r="A46" s="7" t="str">
        <v>LCV-0042</v>
      </c>
      <c r="B46" s="9" t="str">
        <v>LOC-0030</v>
      </c>
      <c r="C46" s="9" t="str">
        <v>LCV-0030</v>
      </c>
      <c r="D46" s="7" t="str">
        <v>未明确</v>
      </c>
      <c r="E46" s="7" t="str">
        <v>未明确</v>
      </c>
      <c r="F46" s="7" t="str">
        <v>摔杯后普通杯破碎；碎片范围与持续待分镜</v>
      </c>
      <c r="G46" s="7" t="str">
        <v>基准→摔杯后普通杯破碎；碎片范围与持续待分镜</v>
      </c>
      <c r="H46" s="7" t="str">
        <v>第9集关联；第22集地点不明不归入本场景</v>
      </c>
      <c r="I46" s="7" t="str">
        <v>变化过程设计</v>
      </c>
      <c r="J46" s="7" t="str">
        <v>用户精简清单 T6R007</v>
      </c>
      <c r="K46" s="7" t="str">
        <v>张阎王家；沙发、茶桌、普通茶杯；摔杯动作的破碎状态随镜头生成</v>
      </c>
      <c r="L46" s="7" t="str">
        <v>原文明示</v>
      </c>
      <c r="M46" s="7" t="str">
        <v>不适用</v>
      </c>
      <c r="N46" s="7" t="str">
        <v>需原剧分场复核，清单不能证明完整性</v>
      </c>
      <c r="O46" s="7" t="str"/>
      <c r="P46" s="7" t="str"/>
      <c r="Q46" s="7" t="str">
        <v>有效</v>
      </c>
      <c r="R46" s="7" t="str"/>
    </row>
    <row r="47" ht="55" customHeight="1">
      <c r="A47" s="7" t="str">
        <v>LCV-0043</v>
      </c>
      <c r="B47" s="9" t="str">
        <v>LOC-0017</v>
      </c>
      <c r="C47" s="9" t="str">
        <v>LCV-0017</v>
      </c>
      <c r="D47" s="7" t="str">
        <v>未明确</v>
      </c>
      <c r="E47" s="7" t="str">
        <v>未明确</v>
      </c>
      <c r="F47" s="7" t="str">
        <v>候选：按原剧确认被击碎的大型部件与破损范围，不认定所有部件都破坏</v>
      </c>
      <c r="G47" s="7" t="str">
        <v>基准→候选：按原剧确认被击碎的大型部件与破损范围，不认定所有部件都破坏</v>
      </c>
      <c r="H47" s="7" t="str">
        <v>具体集场未明确</v>
      </c>
      <c r="I47" s="7" t="str">
        <v>待判断</v>
      </c>
      <c r="J47" s="7" t="str">
        <v>用户精简清单 T6R009</v>
      </c>
      <c r="K47" s="7" t="str">
        <v>烂尾楼/工厂；钢筋、废料、旧机器、水泥柱；可被击碎的大型物件须建立状态变化</v>
      </c>
      <c r="L47" s="7" t="str">
        <v>设计候选</v>
      </c>
      <c r="M47" s="7" t="str">
        <v>待确认</v>
      </c>
      <c r="N47" s="7" t="str">
        <v>需原剧分场复核，清单不能证明完整性</v>
      </c>
      <c r="O47" s="7" t="str"/>
      <c r="P47" s="7" t="str"/>
      <c r="Q47" s="7" t="str">
        <v>有效</v>
      </c>
      <c r="R47" s="7" t="str"/>
    </row>
    <row r="48" ht="55" customHeight="1">
      <c r="A48" s="7" t="str">
        <v>LCV-0044</v>
      </c>
      <c r="B48" s="9" t="str">
        <v>LOC-0020</v>
      </c>
      <c r="C48" s="9" t="str">
        <v>LCV-0020</v>
      </c>
      <c r="D48" s="7" t="str">
        <v>未明确</v>
      </c>
      <c r="E48" s="7" t="str">
        <v>未明确</v>
      </c>
      <c r="F48" s="7" t="str">
        <v>候选：按原剧确认被击碎的大型部件与破损范围，不认定所有部件都破坏</v>
      </c>
      <c r="G48" s="7" t="str">
        <v>基准→候选：按原剧确认被击碎的大型部件与破损范围，不认定所有部件都破坏</v>
      </c>
      <c r="H48" s="7" t="str">
        <v>具体集场未明确</v>
      </c>
      <c r="I48" s="7" t="str">
        <v>待判断</v>
      </c>
      <c r="J48" s="7" t="str">
        <v>用户精简清单 T6R009</v>
      </c>
      <c r="K48" s="7" t="str">
        <v>烂尾楼/工厂；钢筋、废料、旧机器、水泥柱；可被击碎的大型物件须建立状态变化</v>
      </c>
      <c r="L48" s="7" t="str">
        <v>设计候选</v>
      </c>
      <c r="M48" s="7" t="str">
        <v>待确认</v>
      </c>
      <c r="N48" s="7" t="str">
        <v>需原剧分场复核，清单不能证明完整性</v>
      </c>
      <c r="O48" s="7" t="str"/>
      <c r="P48" s="7" t="str"/>
      <c r="Q48" s="7" t="str">
        <v>有效</v>
      </c>
      <c r="R48" s="7" t="str"/>
    </row>
  </sheetData>
  <conditionalFormatting sqref="M5:M148">
    <cfRule type="containsText" dxfId="6" priority="1" operator="containsText" text="待确认"/>
  </conditionalFormatting>
  <conditionalFormatting sqref="N5:N148">
    <cfRule type="expression" dxfId="7" priority="2">
      <formula>AND(N5&lt;&gt;"",N5&lt;&gt;"无新增缺口")</formula>
    </cfRule>
  </conditionalFormatting>
  <dataValidations count="4">
    <dataValidation type="list" sqref="I5:I148">
      <formula1>"沿用基准,补充参考,独立设计,变化过程设计,待判断,不要求可见设计"</formula1>
    </dataValidation>
    <dataValidation type="list" sqref="L5:L148">
      <formula1>"原文明示,合理推断,设计候选"</formula1>
    </dataValidation>
    <dataValidation type="list" sqref="M5:M148">
      <formula1>"待确认,已确认,不适用"</formula1>
    </dataValidation>
    <dataValidation type="list" sqref="Q5:Q148">
      <formula1>"有效,已合并,已停用"</formula1>
    </dataValidation>
  </dataValidations>
  <hyperlinks>
    <hyperlink ref="C2" location="'使用说明与总览'!A1"/>
    <hyperlink ref="B5" location="asset_LOC_0001"/>
    <hyperlink ref="B6" location="asset_LOC_0002"/>
    <hyperlink ref="B7" location="asset_LOC_0003"/>
    <hyperlink ref="B8" location="asset_LOC_0004"/>
    <hyperlink ref="B9" location="asset_LOC_0005"/>
    <hyperlink ref="B10" location="asset_LOC_0006"/>
    <hyperlink ref="B11" location="asset_LOC_0007"/>
    <hyperlink ref="B12" location="asset_LOC_0008"/>
    <hyperlink ref="B13" location="asset_LOC_0009"/>
    <hyperlink ref="B14" location="asset_LOC_0010"/>
    <hyperlink ref="B15" location="asset_LOC_0011"/>
    <hyperlink ref="B16" location="asset_LOC_0012"/>
    <hyperlink ref="B17" location="asset_LOC_0013"/>
    <hyperlink ref="B18" location="asset_LOC_0014"/>
    <hyperlink ref="B19" location="asset_LOC_0015"/>
    <hyperlink ref="B20" location="asset_LOC_0016"/>
    <hyperlink ref="B21" location="asset_LOC_0017"/>
    <hyperlink ref="B22" location="asset_LOC_0018"/>
    <hyperlink ref="B23" location="asset_LOC_0019"/>
    <hyperlink ref="B24" location="asset_LOC_0020"/>
    <hyperlink ref="B25" location="asset_LOC_0021"/>
    <hyperlink ref="B26" location="asset_LOC_0022"/>
    <hyperlink ref="B27" location="asset_LOC_0023"/>
    <hyperlink ref="B28" location="asset_LOC_0024"/>
    <hyperlink ref="B29" location="asset_LOC_0025"/>
    <hyperlink ref="B30" location="asset_LOC_0026"/>
    <hyperlink ref="B31" location="asset_LOC_0027"/>
    <hyperlink ref="B32" location="asset_LOC_0028"/>
    <hyperlink ref="B33" location="asset_LOC_0029"/>
    <hyperlink ref="B34" location="asset_LOC_0030"/>
    <hyperlink ref="B35" location="asset_LOC_0031"/>
    <hyperlink ref="B36" location="asset_LOC_0032"/>
    <hyperlink ref="B37" location="asset_LOC_0033"/>
    <hyperlink ref="B38" location="asset_LOC_0034"/>
    <hyperlink ref="B39" location="asset_LOC_0035"/>
    <hyperlink ref="B40" location="asset_LOC_0036"/>
    <hyperlink ref="B41" location="asset_LOC_0037"/>
    <hyperlink ref="B42" location="asset_LOC_0008"/>
    <hyperlink ref="C42" location="asset_LCV_0008"/>
    <hyperlink ref="B43" location="asset_LOC_0008"/>
    <hyperlink ref="C43" location="asset_LCV_0008"/>
    <hyperlink ref="B44" location="asset_LOC_0008"/>
    <hyperlink ref="C44" location="asset_LCV_0008"/>
    <hyperlink ref="B45" location="asset_LOC_0036"/>
    <hyperlink ref="C45" location="asset_LCV_0036"/>
    <hyperlink ref="B46" location="asset_LOC_0030"/>
    <hyperlink ref="C46" location="asset_LCV_0030"/>
    <hyperlink ref="B47" location="asset_LOC_0017"/>
    <hyperlink ref="C47" location="asset_LCV_0017"/>
    <hyperlink ref="B48" location="asset_LOC_0020"/>
    <hyperlink ref="C48" location="asset_LCV_0020"/>
  </hyperlinks>
  <pageMargins left="0.7" right="0.7" top="0.75" bottom="0.75" header="0.3" footer="0.3"/>
  <tableParts count="1">
    <tablePart r:id="R7d1a8929294c419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3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32" hidden="0" customWidth="1"/>
    <col min="14" max="14" width="22" hidden="0" customWidth="1"/>
    <col min="15" max="15" width="22" hidden="0" customWidth="1"/>
    <col min="16" max="16" width="32" hidden="0" customWidth="1"/>
    <col min="17" max="17" width="32" hidden="0" customWidth="1"/>
    <col min="18" max="18" width="32" hidden="0" customWidth="1"/>
    <col min="19" max="19" width="22" hidden="0" customWidth="1"/>
    <col min="20" max="20" width="2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tr">
        <v>道具需求</v>
      </c>
      <c r="B2" s="1"/>
      <c r="C2" s="1" t="str">
        <v>返回总览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38" customHeight="1">
      <c r="A4" s="5" t="str">
        <v>道具编号</v>
      </c>
      <c r="B4" s="5" t="str">
        <v>名称</v>
      </c>
      <c r="C4" s="5" t="str">
        <v>基准道具编号</v>
      </c>
      <c r="D4" s="5" t="str">
        <v>用途</v>
      </c>
      <c r="E4" s="5" t="str">
        <v>数量</v>
      </c>
      <c r="F4" s="5" t="str">
        <v>归属</v>
      </c>
      <c r="G4" s="5" t="str">
        <v>外观与文字</v>
      </c>
      <c r="H4" s="5" t="str">
        <v>状态要求</v>
      </c>
      <c r="I4" s="5" t="str">
        <v>适用场次</v>
      </c>
      <c r="J4" s="5" t="str">
        <v>出现方式</v>
      </c>
      <c r="K4" s="5" t="str">
        <v>制作建议</v>
      </c>
      <c r="L4" s="5" t="str">
        <v>原文定位</v>
      </c>
      <c r="M4" s="5" t="str">
        <v>原文摘录</v>
      </c>
      <c r="N4" s="5" t="str">
        <v>证据性质</v>
      </c>
      <c r="O4" s="5" t="str">
        <v>确认状态</v>
      </c>
      <c r="P4" s="5" t="str">
        <v>待确认项</v>
      </c>
      <c r="Q4" s="5" t="str">
        <v>用户批注</v>
      </c>
      <c r="R4" s="5" t="str">
        <v>变更说明</v>
      </c>
      <c r="S4" s="5" t="str">
        <v>记录状态</v>
      </c>
      <c r="T4" s="5" t="str">
        <v>合并至编号</v>
      </c>
    </row>
    <row r="5" ht="85" customHeight="1">
      <c r="A5" s="7" t="str">
        <v>PRP-0001</v>
      </c>
      <c r="B5" s="7" t="str">
        <v>西王母阴玉</v>
      </c>
      <c r="C5" s="7" t="str"/>
      <c r="D5" s="7" t="str">
        <v>核心物件历史实物需求，身体能量不算新实体</v>
      </c>
      <c r="E5" s="8" t="str">
        <v>未明确</v>
      </c>
      <c r="F5" s="7" t="str">
        <v>苏小菲关联</v>
      </c>
      <c r="G5" s="7" t="str">
        <v>原文未提供形制</v>
      </c>
      <c r="H5" s="7" t="str">
        <v>区分历史实物与苏小菲身体融合/能量表现，不默认可取出玉佩</v>
      </c>
      <c r="I5" s="7" t="str">
        <v>第1集提及，实体出现集未明；实际分场未提供</v>
      </c>
      <c r="J5" s="7" t="str">
        <v>提及</v>
      </c>
      <c r="K5" s="7" t="str">
        <v>独立设计</v>
      </c>
      <c r="L5" s="7" t="str">
        <v>用户精简清单 T8R002</v>
      </c>
      <c r="M5" s="7" t="str">
        <v>P01 西王母玉（阴/阳）；第1集提及；必须独立；阴玉与苏小菲身体融合；阳玉关联江辰。分实物历史状态和身体能量表现，不默认是可随手取出的玉佩。</v>
      </c>
      <c r="N5" s="7" t="str">
        <v>原文明示</v>
      </c>
      <c r="O5" s="7" t="str">
        <v>不适用</v>
      </c>
      <c r="P5" s="7" t="str">
        <v>需原剧分场复核，清单不能证明完整性</v>
      </c>
      <c r="Q5" s="7" t="str"/>
      <c r="R5" s="7" t="str"/>
      <c r="S5" s="7" t="str">
        <v>有效</v>
      </c>
      <c r="T5" s="7" t="str"/>
    </row>
    <row r="6" ht="85" customHeight="1">
      <c r="A6" s="7" t="str">
        <v>PRP-0002</v>
      </c>
      <c r="B6" s="7" t="str">
        <v>西王母阳玉</v>
      </c>
      <c r="C6" s="7" t="str"/>
      <c r="D6" s="7" t="str">
        <v>与阴玉相对的核心物件</v>
      </c>
      <c r="E6" s="8" t="str">
        <v>未明确</v>
      </c>
      <c r="F6" s="7" t="str">
        <v>江辰关联</v>
      </c>
      <c r="G6" s="7" t="str">
        <v>未明确</v>
      </c>
      <c r="H6" s="7" t="str">
        <v>与江辰关联，是否融合及何时实体出现未明</v>
      </c>
      <c r="I6" s="7" t="str">
        <v>第1集提及，实体出现集未明；实际分场未提供</v>
      </c>
      <c r="J6" s="7" t="str">
        <v>提及</v>
      </c>
      <c r="K6" s="7" t="str">
        <v>独立设计</v>
      </c>
      <c r="L6" s="7" t="str">
        <v>用户精简清单 T8R002</v>
      </c>
      <c r="M6" s="7" t="str">
        <v>P01 西王母玉（阴/阳）；第1集提及；必须独立；阴玉与苏小菲身体融合；阳玉关联江辰。分实物历史状态和身体能量表现，不默认是可随手取出的玉佩。</v>
      </c>
      <c r="N6" s="7" t="str">
        <v>原文明示</v>
      </c>
      <c r="O6" s="7" t="str">
        <v>不适用</v>
      </c>
      <c r="P6" s="7" t="str">
        <v>需原剧分场复核，清单不能证明完整性</v>
      </c>
      <c r="Q6" s="7" t="str"/>
      <c r="R6" s="7" t="str"/>
      <c r="S6" s="7" t="str">
        <v>有效</v>
      </c>
      <c r="T6" s="7" t="str"/>
    </row>
    <row r="7" ht="55" customHeight="1">
      <c r="A7" s="7" t="str">
        <v>PRP-0003</v>
      </c>
      <c r="B7" s="7" t="str">
        <v>孤狼银色半面具</v>
      </c>
      <c r="C7" s="7" t="str"/>
      <c r="D7" s="7" t="str">
        <v>标志性佩戴物</v>
      </c>
      <c r="E7" s="8" t="str">
        <v>未明确</v>
      </c>
      <c r="F7" s="7" t="str">
        <v>江辰/孤狼</v>
      </c>
      <c r="G7" s="7" t="str">
        <v>银色、半面具</v>
      </c>
      <c r="H7" s="7" t="str">
        <v>佩戴/侧面/摘下，江辰脸型不变</v>
      </c>
      <c r="I7" s="7" t="str">
        <v>第1集；实际分场未提供</v>
      </c>
      <c r="J7" s="7" t="str">
        <v>待确认</v>
      </c>
      <c r="K7" s="7" t="str">
        <v>独立设计</v>
      </c>
      <c r="L7" s="7" t="str">
        <v>用户精简清单 T8R003</v>
      </c>
      <c r="M7" s="7" t="str">
        <v>P02 孤狼银色半面具；第1集；必须独立；佩戴、侧面、摘下面具，江辰脸型不变。</v>
      </c>
      <c r="N7" s="7" t="str">
        <v>原文明示</v>
      </c>
      <c r="O7" s="7" t="str">
        <v>不适用</v>
      </c>
      <c r="P7" s="7" t="str">
        <v>需原剧分场复核，清单不能证明完整性</v>
      </c>
      <c r="Q7" s="7" t="str"/>
      <c r="R7" s="7" t="str"/>
      <c r="S7" s="7" t="str">
        <v>有效</v>
      </c>
      <c r="T7" s="7" t="str"/>
    </row>
    <row r="8" ht="70" customHeight="1">
      <c r="A8" s="7" t="str">
        <v>PRP-0004</v>
      </c>
      <c r="B8" s="7" t="str">
        <v>昆仑琉璃灯</v>
      </c>
      <c r="C8" s="7" t="str"/>
      <c r="D8" s="7" t="str">
        <v>核心物件</v>
      </c>
      <c r="E8" s="8" t="str">
        <v>未明确</v>
      </c>
      <c r="F8" s="7" t="str">
        <v>未明确</v>
      </c>
      <c r="G8" s="7" t="str">
        <v>碧绿色，鸡蛋大小</v>
      </c>
      <c r="H8" s="7" t="str">
        <v>实物与能量共鸣分别管理</v>
      </c>
      <c r="I8" s="7" t="str">
        <v>第47集；实际分场未提供</v>
      </c>
      <c r="J8" s="7" t="str">
        <v>待确认</v>
      </c>
      <c r="K8" s="7" t="str">
        <v>独立设计</v>
      </c>
      <c r="L8" s="7" t="str">
        <v>用户精简清单 T8R004</v>
      </c>
      <c r="M8" s="7" t="str">
        <v>P03 昆仑琉璃灯＋玉盒；第47集；必须独立；碧绿色、鸡蛋大小的琉璃灯；玉盒作配套容器；另做能量/共鸣效果。</v>
      </c>
      <c r="N8" s="7" t="str">
        <v>原文明示</v>
      </c>
      <c r="O8" s="7" t="str">
        <v>不适用</v>
      </c>
      <c r="P8" s="7" t="str">
        <v>需原剧分场复核，清单不能证明完整性</v>
      </c>
      <c r="Q8" s="7" t="str"/>
      <c r="R8" s="7" t="str"/>
      <c r="S8" s="7" t="str">
        <v>有效</v>
      </c>
      <c r="T8" s="7" t="str"/>
    </row>
    <row r="9" ht="70" customHeight="1">
      <c r="A9" s="7" t="str">
        <v>PRP-0005</v>
      </c>
      <c r="B9" s="7" t="str">
        <v>琉璃灯配套玉盒</v>
      </c>
      <c r="C9" s="7" t="str"/>
      <c r="D9" s="7" t="str">
        <v>容器，与琉璃灯是两件物品</v>
      </c>
      <c r="E9" s="8" t="str">
        <v>未明确</v>
      </c>
      <c r="F9" s="7" t="str">
        <v>未明确</v>
      </c>
      <c r="G9" s="7" t="str">
        <v>玉盒，尺寸/开合未明</v>
      </c>
      <c r="H9" s="7" t="str">
        <v>与灯的容纳关系待核，不和灯合成一件</v>
      </c>
      <c r="I9" s="7" t="str">
        <v>第47集；实际分场未提供</v>
      </c>
      <c r="J9" s="7" t="str">
        <v>待确认</v>
      </c>
      <c r="K9" s="7" t="str">
        <v>独立设计</v>
      </c>
      <c r="L9" s="7" t="str">
        <v>用户精简清单 T8R004</v>
      </c>
      <c r="M9" s="7" t="str">
        <v>P03 昆仑琉璃灯＋玉盒；第47集；必须独立；碧绿色、鸡蛋大小的琉璃灯；玉盒作配套容器；另做能量/共鸣效果。</v>
      </c>
      <c r="N9" s="7" t="str">
        <v>原文明示</v>
      </c>
      <c r="O9" s="7" t="str">
        <v>不适用</v>
      </c>
      <c r="P9" s="7" t="str">
        <v>需原剧分场复核，清单不能证明完整性</v>
      </c>
      <c r="Q9" s="7" t="str"/>
      <c r="R9" s="7" t="str"/>
      <c r="S9" s="7" t="str">
        <v>有效</v>
      </c>
      <c r="T9" s="7" t="str"/>
    </row>
    <row r="10" ht="55" customHeight="1">
      <c r="A10" s="7" t="str">
        <v>PRP-0006</v>
      </c>
      <c r="B10" s="7" t="str">
        <v>裁决令</v>
      </c>
      <c r="C10" s="7" t="str"/>
      <c r="D10" s="7" t="str">
        <v>身份/剧情令牌</v>
      </c>
      <c r="E10" s="8" t="str">
        <v>未明确</v>
      </c>
      <c r="F10" s="7" t="str">
        <v>未明确</v>
      </c>
      <c r="G10" s="7" t="str">
        <v>固定符号、材质未提供具体值</v>
      </c>
      <c r="H10" s="7" t="str">
        <v>与至尊令区分；实体首次出现未核</v>
      </c>
      <c r="I10" s="7" t="str">
        <v>第39集提及；实际分场未提供</v>
      </c>
      <c r="J10" s="7" t="str">
        <v>提及</v>
      </c>
      <c r="K10" s="7" t="str">
        <v>独立设计</v>
      </c>
      <c r="L10" s="7" t="str">
        <v>用户精简清单 T8R005</v>
      </c>
      <c r="M10" s="7" t="str">
        <v>P04 裁决令；第39集提及；必须独立；与至尊令区分造型，固定符号/材质。</v>
      </c>
      <c r="N10" s="7" t="str">
        <v>原文明示</v>
      </c>
      <c r="O10" s="7" t="str">
        <v>不适用</v>
      </c>
      <c r="P10" s="7" t="str">
        <v>需原剧分场复核，清单不能证明完整性</v>
      </c>
      <c r="Q10" s="7" t="str"/>
      <c r="R10" s="7" t="str"/>
      <c r="S10" s="7" t="str">
        <v>有效</v>
      </c>
      <c r="T10" s="7" t="str"/>
    </row>
    <row r="11" ht="55" customHeight="1">
      <c r="A11" s="7" t="str">
        <v>PRP-0007</v>
      </c>
      <c r="B11" s="7" t="str">
        <v>至尊令·真令</v>
      </c>
      <c r="C11" s="7" t="str"/>
      <c r="D11" s="7" t="str">
        <v>真实身份令牌</v>
      </c>
      <c r="E11" s="8" t="str">
        <v>未明确</v>
      </c>
      <c r="F11" s="7" t="str">
        <v>未明确</v>
      </c>
      <c r="G11" s="7" t="str">
        <v>未明确</v>
      </c>
      <c r="H11" s="7" t="str">
        <v>真令与假令分实物实例；哪枚破碎待核</v>
      </c>
      <c r="I11" s="7" t="str">
        <v>第54集关联；实际分场未提供</v>
      </c>
      <c r="J11" s="7" t="str">
        <v>待确认</v>
      </c>
      <c r="K11" s="7" t="str">
        <v>独立设计</v>
      </c>
      <c r="L11" s="7" t="str">
        <v>用户精简清单 T8R006</v>
      </c>
      <c r="M11" s="7" t="str">
        <v>P05 至尊令；第54集；必须独立；真令、假令、破碎状态；关键身份反转。</v>
      </c>
      <c r="N11" s="7" t="str">
        <v>原文明示</v>
      </c>
      <c r="O11" s="7" t="str">
        <v>不适用</v>
      </c>
      <c r="P11" s="7" t="str">
        <v>需原剧分场复核，清单不能证明完整性</v>
      </c>
      <c r="Q11" s="7" t="str"/>
      <c r="R11" s="7" t="str"/>
      <c r="S11" s="7" t="str">
        <v>有效</v>
      </c>
      <c r="T11" s="7" t="str"/>
    </row>
    <row r="12" ht="55" customHeight="1">
      <c r="A12" s="7" t="str">
        <v>PRP-0008</v>
      </c>
      <c r="B12" s="7" t="str">
        <v>至尊令·假令</v>
      </c>
      <c r="C12" s="7" t="str"/>
      <c r="D12" s="7" t="str">
        <v>仿冒令牌</v>
      </c>
      <c r="E12" s="8" t="str">
        <v>未明确</v>
      </c>
      <c r="F12" s="7" t="str">
        <v>未明确</v>
      </c>
      <c r="G12" s="7" t="str">
        <v>真假可见差异未明</v>
      </c>
      <c r="H12" s="7" t="str">
        <v>与真令是不同实物；是否同款造型待核</v>
      </c>
      <c r="I12" s="7" t="str">
        <v>第54集关联；实际分场未提供</v>
      </c>
      <c r="J12" s="7" t="str">
        <v>待确认</v>
      </c>
      <c r="K12" s="7" t="str">
        <v>独立设计</v>
      </c>
      <c r="L12" s="7" t="str">
        <v>用户精简清单 T8R006</v>
      </c>
      <c r="M12" s="7" t="str">
        <v>P05 至尊令；第54集；必须独立；真令、假令、破碎状态；关键身份反转。</v>
      </c>
      <c r="N12" s="7" t="str">
        <v>原文明示</v>
      </c>
      <c r="O12" s="7" t="str">
        <v>不适用</v>
      </c>
      <c r="P12" s="7" t="str">
        <v>需原剧分场复核，清单不能证明完整性</v>
      </c>
      <c r="Q12" s="7" t="str"/>
      <c r="R12" s="7" t="str"/>
      <c r="S12" s="7" t="str">
        <v>有效</v>
      </c>
      <c r="T12" s="7" t="str"/>
    </row>
    <row r="13" ht="55" customHeight="1">
      <c r="A13" s="7" t="str">
        <v>PRP-0009</v>
      </c>
      <c r="B13" s="7" t="str">
        <v>苏小菲耳环</v>
      </c>
      <c r="C13" s="7" t="str"/>
      <c r="D13" s="7" t="str">
        <v>可摘戴并用于攻击的饰物</v>
      </c>
      <c r="E13" s="8" t="str">
        <v>未明确</v>
      </c>
      <c r="F13" s="7" t="str">
        <v>苏小菲</v>
      </c>
      <c r="G13" s="7" t="str">
        <v>式样、尺寸未明确</v>
      </c>
      <c r="H13" s="7" t="str">
        <v>耳上→摘下→手中攻击→完好→戴回；数量/左右未明</v>
      </c>
      <c r="I13" s="7" t="str">
        <v>第19集；实际分场未提供</v>
      </c>
      <c r="J13" s="7" t="str">
        <v>待确认</v>
      </c>
      <c r="K13" s="7" t="str">
        <v>独立设计</v>
      </c>
      <c r="L13" s="7" t="str">
        <v>用户精简清单 T8R007</v>
      </c>
      <c r="M13" s="7" t="str">
        <v>P06 苏小菲耳环；第19集；必须独立；耳上→摘下→手中攻击→完好→重新戴回，跨镜外观一致。</v>
      </c>
      <c r="N13" s="7" t="str">
        <v>原文明示</v>
      </c>
      <c r="O13" s="7" t="str">
        <v>不适用</v>
      </c>
      <c r="P13" s="7" t="str">
        <v>需原剧分场复核，清单不能证明完整性</v>
      </c>
      <c r="Q13" s="7" t="str"/>
      <c r="R13" s="7" t="str"/>
      <c r="S13" s="7" t="str">
        <v>有效</v>
      </c>
      <c r="T13" s="7" t="str"/>
    </row>
    <row r="14" ht="55" customHeight="1">
      <c r="A14" s="7" t="str">
        <v>PRP-0010</v>
      </c>
      <c r="B14" s="7" t="str">
        <v>周天钢铁拳套</v>
      </c>
      <c r="C14" s="7" t="str"/>
      <c r="D14" s="7" t="str">
        <v>战斗装备</v>
      </c>
      <c r="E14" s="8" t="str">
        <v>未明确</v>
      </c>
      <c r="F14" s="7" t="str">
        <v>周天</v>
      </c>
      <c r="G14" s="7" t="str">
        <v>钢铁，尺寸未明</v>
      </c>
      <c r="H14" s="7" t="str">
        <v>完整→受击→裂纹→破裂，匹配耳环尺寸与方向</v>
      </c>
      <c r="I14" s="7" t="str">
        <v>第19集；实际分场未提供</v>
      </c>
      <c r="J14" s="7" t="str">
        <v>待确认</v>
      </c>
      <c r="K14" s="7" t="str">
        <v>变化过程设计</v>
      </c>
      <c r="L14" s="7" t="str">
        <v>用户精简清单 T8R008</v>
      </c>
      <c r="M14" s="7" t="str">
        <v>P07 周天钢铁拳套；第19集；必须独立；完整、受击、裂纹、破裂；需与耳环尺寸和攻击方向匹配。</v>
      </c>
      <c r="N14" s="7" t="str">
        <v>原文明示</v>
      </c>
      <c r="O14" s="7" t="str">
        <v>不适用</v>
      </c>
      <c r="P14" s="7" t="str">
        <v>需原剧分场复核，清单不能证明完整性</v>
      </c>
      <c r="Q14" s="7" t="str"/>
      <c r="R14" s="7" t="str"/>
      <c r="S14" s="7" t="str">
        <v>有效</v>
      </c>
      <c r="T14" s="7" t="str"/>
    </row>
    <row r="15" ht="55" customHeight="1">
      <c r="A15" s="7" t="str">
        <v>PRP-0011</v>
      </c>
      <c r="B15" s="7" t="str">
        <v>血手红手套</v>
      </c>
      <c r="C15" s="7" t="str"/>
      <c r="D15" s="7" t="str">
        <v>标志性装备</v>
      </c>
      <c r="E15" s="8" t="str">
        <v>未明确</v>
      </c>
      <c r="F15" s="7" t="str">
        <v>血手</v>
      </c>
      <c r="G15" s="7" t="str">
        <v>血红色</v>
      </c>
      <c r="H15" s="7" t="str">
        <v>固定左右手与接触动作；单只/双只未明</v>
      </c>
      <c r="I15" s="7" t="str">
        <v>第9集；实际分场未提供</v>
      </c>
      <c r="J15" s="7" t="str">
        <v>待确认</v>
      </c>
      <c r="K15" s="7" t="str">
        <v>独立设计</v>
      </c>
      <c r="L15" s="7" t="str">
        <v>用户精简清单 T8R009</v>
      </c>
      <c r="M15" s="7" t="str">
        <v>P08 血手红手套；第9集；必须独立；标志性血红色手套，固定左右手与接触动作。</v>
      </c>
      <c r="N15" s="7" t="str">
        <v>原文明示</v>
      </c>
      <c r="O15" s="7" t="str">
        <v>不适用</v>
      </c>
      <c r="P15" s="7" t="str">
        <v>需原剧分场复核，清单不能证明完整性</v>
      </c>
      <c r="Q15" s="7" t="str"/>
      <c r="R15" s="7" t="str"/>
      <c r="S15" s="7" t="str">
        <v>有效</v>
      </c>
      <c r="T15" s="7" t="str"/>
    </row>
    <row r="16" ht="55" customHeight="1">
      <c r="A16" s="7" t="str">
        <v>PRP-0012</v>
      </c>
      <c r="B16" s="7" t="str">
        <v>银女飞刀</v>
      </c>
      <c r="C16" s="7" t="str"/>
      <c r="D16" s="7" t="str">
        <v>投射武器</v>
      </c>
      <c r="E16" s="8" t="str">
        <v>未明确</v>
      </c>
      <c r="F16" s="7" t="str">
        <v>银女</v>
      </c>
      <c r="G16" s="7" t="str">
        <v>刀型未明确</v>
      </c>
      <c r="H16" s="7" t="str">
        <v>镜头数量3把/9把；黑气→金光→回射，不能直接当总数9件</v>
      </c>
      <c r="I16" s="7" t="str">
        <v>第58集；实际分场未提供</v>
      </c>
      <c r="J16" s="7" t="str">
        <v>待确认</v>
      </c>
      <c r="K16" s="7" t="str">
        <v>变化过程设计</v>
      </c>
      <c r="L16" s="7" t="str">
        <v>用户精简清单 T8R010</v>
      </c>
      <c r="M16" s="7" t="str">
        <v>P09 银女飞刀；第58集；必须独立；三把/九把，黑气附着、金光转化与回射。</v>
      </c>
      <c r="N16" s="7" t="str">
        <v>原文明示</v>
      </c>
      <c r="O16" s="7" t="str">
        <v>不适用</v>
      </c>
      <c r="P16" s="7" t="str">
        <v>需原剧分场复核，清单不能证明完整性</v>
      </c>
      <c r="Q16" s="7" t="str"/>
      <c r="R16" s="7" t="str"/>
      <c r="S16" s="7" t="str">
        <v>有效</v>
      </c>
      <c r="T16" s="7" t="str"/>
    </row>
    <row r="17" ht="55" customHeight="1">
      <c r="A17" s="7" t="str">
        <v>PRP-0013</v>
      </c>
      <c r="B17" s="7" t="str">
        <v>无人机</v>
      </c>
      <c r="C17" s="7" t="str"/>
      <c r="D17" s="7" t="str">
        <v>监控设备</v>
      </c>
      <c r="E17" s="8" t="str">
        <v>未明确</v>
      </c>
      <c r="F17" s="7" t="str">
        <v>未明确</v>
      </c>
      <c r="G17" s="7" t="str">
        <v>型号未明确</v>
      </c>
      <c r="H17" s="7" t="str">
        <v>同型号悬停、飞行、监控镜头连续</v>
      </c>
      <c r="I17" s="7" t="str">
        <v>第4集；实际分场未提供</v>
      </c>
      <c r="J17" s="7" t="str">
        <v>待确认</v>
      </c>
      <c r="K17" s="7" t="str">
        <v>补充参考</v>
      </c>
      <c r="L17" s="7" t="str">
        <v>用户精简清单 T8R011</v>
      </c>
      <c r="M17" s="7" t="str">
        <v>P10 无人机；第4集；建议独立；固定同一型号，悬停、飞行、监控镜头一致。</v>
      </c>
      <c r="N17" s="7" t="str">
        <v>原文明示</v>
      </c>
      <c r="O17" s="7" t="str">
        <v>不适用</v>
      </c>
      <c r="P17" s="7" t="str">
        <v>需原剧分场复核，清单不能证明完整性</v>
      </c>
      <c r="Q17" s="7" t="str"/>
      <c r="R17" s="7" t="str"/>
      <c r="S17" s="7" t="str">
        <v>有效</v>
      </c>
      <c r="T17" s="7" t="str"/>
    </row>
    <row r="18" ht="55" customHeight="1">
      <c r="A18" s="7" t="str">
        <v>PRP-0014</v>
      </c>
      <c r="B18" s="7" t="str">
        <v>测谎仪</v>
      </c>
      <c r="C18" s="7" t="str"/>
      <c r="D18" s="7" t="str">
        <v>测试装置</v>
      </c>
      <c r="E18" s="8" t="str">
        <v>未明确</v>
      </c>
      <c r="F18" s="7" t="str">
        <v>江辰佩戴，持有者待核</v>
      </c>
      <c r="G18" s="7" t="str">
        <v>指示器及连接结构未明</v>
      </c>
      <c r="H18" s="7" t="str">
        <v>佩戴江辰→摘下→递还</v>
      </c>
      <c r="I18" s="7" t="str">
        <v>第2集；实际分场未提供</v>
      </c>
      <c r="J18" s="7" t="str">
        <v>待确认</v>
      </c>
      <c r="K18" s="7" t="str">
        <v>补充参考</v>
      </c>
      <c r="L18" s="7" t="str">
        <v>用户精简清单 T8R012</v>
      </c>
      <c r="M18" s="7" t="str">
        <v>P11 测谎仪；第2集；建议独立；佩戴在江辰身上、指示器、摘下递还，装置逻辑连续。</v>
      </c>
      <c r="N18" s="7" t="str">
        <v>原文明示</v>
      </c>
      <c r="O18" s="7" t="str">
        <v>不适用</v>
      </c>
      <c r="P18" s="7" t="str">
        <v>需原剧分场复核，清单不能证明完整性</v>
      </c>
      <c r="Q18" s="7" t="str"/>
      <c r="R18" s="7" t="str"/>
      <c r="S18" s="7" t="str">
        <v>有效</v>
      </c>
      <c r="T18" s="7" t="str"/>
    </row>
    <row r="19" ht="55" customHeight="1">
      <c r="A19" s="7" t="str">
        <v>PRP-0015</v>
      </c>
      <c r="B19" s="7" t="str">
        <v>烫金请柬</v>
      </c>
      <c r="C19" s="7" t="str"/>
      <c r="D19" s="7" t="str">
        <v>关键可读文书</v>
      </c>
      <c r="E19" s="8" t="str">
        <v>未明确</v>
      </c>
      <c r="F19" s="7" t="str">
        <v>未明确</v>
      </c>
      <c r="G19" s="7" t="str">
        <v>烫金，版式/准确文字未提供</v>
      </c>
      <c r="H19" s="7" t="str">
        <v>飞入→接住→展开→阅读；文字待原剧</v>
      </c>
      <c r="I19" s="7" t="str">
        <v>第33集；实际分场未提供</v>
      </c>
      <c r="J19" s="7" t="str">
        <v>待确认</v>
      </c>
      <c r="K19" s="7" t="str">
        <v>独立设计</v>
      </c>
      <c r="L19" s="7" t="str">
        <v>用户精简清单 T8R013</v>
      </c>
      <c r="M19" s="7" t="str">
        <v>P12 烫金请柬；第33集；建议独立；飞入、接住、展开、阅读，版式和文字固定。</v>
      </c>
      <c r="N19" s="7" t="str">
        <v>原文明示</v>
      </c>
      <c r="O19" s="7" t="str">
        <v>不适用</v>
      </c>
      <c r="P19" s="7" t="str">
        <v>需原剧分场复核，清单不能证明完整性</v>
      </c>
      <c r="Q19" s="7" t="str"/>
      <c r="R19" s="7" t="str"/>
      <c r="S19" s="7" t="str">
        <v>有效</v>
      </c>
      <c r="T19" s="7" t="str"/>
    </row>
    <row r="20" ht="55" customHeight="1">
      <c r="A20" s="7" t="str">
        <v>PRP-0016</v>
      </c>
      <c r="B20" s="7" t="str">
        <v>手机关键屏幕内容</v>
      </c>
      <c r="C20" s="7" t="str"/>
      <c r="D20" s="7" t="str">
        <v>屏幕内容资产，非另一台实体手机</v>
      </c>
      <c r="E20" s="8" t="str">
        <v>未明确</v>
      </c>
      <c r="F20" s="7" t="str">
        <v>未明确</v>
      </c>
      <c r="G20" s="7" t="str">
        <v>短信/IP/威胁/情报，准确内容未提供</v>
      </c>
      <c r="H20" s="7" t="str">
        <v>关联手机；各条消息应逐集拆分，不能编正文</v>
      </c>
      <c r="I20" s="7" t="str">
        <v>多集未逐条列明；实际分场未提供</v>
      </c>
      <c r="J20" s="7" t="str">
        <v>待确认</v>
      </c>
      <c r="K20" s="7" t="str">
        <v>独立设计</v>
      </c>
      <c r="L20" s="7" t="str">
        <v>用户精简清单 T8R014</v>
      </c>
      <c r="M20" s="7" t="str">
        <v>P13 手机关键屏幕；多集；必须锁定；短信、IP、威胁、情报等准确内容；屏幕可采用后期合成。</v>
      </c>
      <c r="N20" s="7" t="str">
        <v>原文明示</v>
      </c>
      <c r="O20" s="7" t="str">
        <v>不适用</v>
      </c>
      <c r="P20" s="7" t="str">
        <v>需原剧分场复核，清单不能证明完整性</v>
      </c>
      <c r="Q20" s="7" t="str"/>
      <c r="R20" s="7" t="str"/>
      <c r="S20" s="7" t="str">
        <v>有效</v>
      </c>
      <c r="T20" s="7" t="str"/>
    </row>
    <row r="21" ht="55" customHeight="1">
      <c r="A21" s="7" t="str">
        <v>PRP-0017</v>
      </c>
      <c r="B21" s="7" t="str">
        <v>微型计算机</v>
      </c>
      <c r="C21" s="7" t="str"/>
      <c r="D21" s="7" t="str">
        <v>与手机连接的设备</v>
      </c>
      <c r="E21" s="8" t="str">
        <v>未明确</v>
      </c>
      <c r="F21" s="7" t="str">
        <v>未明确</v>
      </c>
      <c r="G21" s="7" t="str">
        <v>手掌大小</v>
      </c>
      <c r="H21" s="7" t="str">
        <v>接口与屏幕固定；数据线单列</v>
      </c>
      <c r="I21" s="7" t="str">
        <v>第14集；实际分场未提供</v>
      </c>
      <c r="J21" s="7" t="str">
        <v>待确认</v>
      </c>
      <c r="K21" s="7" t="str">
        <v>补充参考</v>
      </c>
      <c r="L21" s="7" t="str">
        <v>用户精简清单 T8R015</v>
      </c>
      <c r="M21" s="7" t="str">
        <v>P14 微型计算机；第14集；建议独立；手掌大小、与手机连接，固定数据线接口和屏幕。</v>
      </c>
      <c r="N21" s="7" t="str">
        <v>原文明示</v>
      </c>
      <c r="O21" s="7" t="str">
        <v>不适用</v>
      </c>
      <c r="P21" s="7" t="str">
        <v>需原剧分场复核，清单不能证明完整性</v>
      </c>
      <c r="Q21" s="7" t="str"/>
      <c r="R21" s="7" t="str"/>
      <c r="S21" s="7" t="str">
        <v>有效</v>
      </c>
      <c r="T21" s="7" t="str"/>
    </row>
    <row r="22" ht="55" customHeight="1">
      <c r="A22" s="7" t="str">
        <v>PRP-0018</v>
      </c>
      <c r="B22" s="7" t="str">
        <v>匕首</v>
      </c>
      <c r="C22" s="7" t="str"/>
      <c r="D22" s="7" t="str">
        <v>武器；普通与特写型号关系待核</v>
      </c>
      <c r="E22" s="8" t="str">
        <v>未明确</v>
      </c>
      <c r="F22" s="7" t="str">
        <v>未明确</v>
      </c>
      <c r="G22" s="7" t="str">
        <v>未明确</v>
      </c>
      <c r="H22" s="7" t="str">
        <v>按原剧/镜头补充；不因临时生成而省略需求登记</v>
      </c>
      <c r="I22" s="7" t="str">
        <v>第6集起，具体见第6—7/24—25集；实际分场未提供</v>
      </c>
      <c r="J22" s="7" t="str">
        <v>待确认</v>
      </c>
      <c r="K22" s="7" t="str">
        <v>补充参考</v>
      </c>
      <c r="L22" s="7" t="str">
        <v>用户精简清单 T8R016</v>
      </c>
      <c r="M22" s="7" t="str">
        <v>P15 特殊武器组；第6集起；按镜头；匕首、铁棍、弩箭等分属不同武器；关键近景各自统一外观。</v>
      </c>
      <c r="N22" s="7" t="str">
        <v>原文明示</v>
      </c>
      <c r="O22" s="7" t="str">
        <v>不适用</v>
      </c>
      <c r="P22" s="7" t="str">
        <v>需原剧分场复核，清单不能证明完整性</v>
      </c>
      <c r="Q22" s="7" t="str"/>
      <c r="R22" s="7" t="str"/>
      <c r="S22" s="7" t="str">
        <v>有效</v>
      </c>
      <c r="T22" s="7" t="str"/>
    </row>
    <row r="23" ht="55" customHeight="1">
      <c r="A23" s="7" t="str">
        <v>PRP-0019</v>
      </c>
      <c r="B23" s="7" t="str">
        <v>铁棍</v>
      </c>
      <c r="C23" s="7" t="str"/>
      <c r="D23" s="7" t="str">
        <v>武器，不能与匕首/弩箭并成一种</v>
      </c>
      <c r="E23" s="8" t="str">
        <v>未明确</v>
      </c>
      <c r="F23" s="7" t="str">
        <v>未明确</v>
      </c>
      <c r="G23" s="7" t="str">
        <v>未明确</v>
      </c>
      <c r="H23" s="7" t="str">
        <v>按原剧/镜头补充；不因临时生成而省略需求登记</v>
      </c>
      <c r="I23" s="7" t="str">
        <v>第6集起，具体集场待核；实际分场未提供</v>
      </c>
      <c r="J23" s="7" t="str">
        <v>待确认</v>
      </c>
      <c r="K23" s="7" t="str">
        <v>补充参考</v>
      </c>
      <c r="L23" s="7" t="str">
        <v>用户精简清单 T8R016</v>
      </c>
      <c r="M23" s="7" t="str">
        <v>P15 特殊武器组；第6集起；按镜头；匕首、铁棍、弩箭等分属不同武器；关键近景各自统一外观。</v>
      </c>
      <c r="N23" s="7" t="str">
        <v>原文明示</v>
      </c>
      <c r="O23" s="7" t="str">
        <v>不适用</v>
      </c>
      <c r="P23" s="7" t="str">
        <v>需原剧分场复核，清单不能证明完整性</v>
      </c>
      <c r="Q23" s="7" t="str"/>
      <c r="R23" s="7" t="str"/>
      <c r="S23" s="7" t="str">
        <v>有效</v>
      </c>
      <c r="T23" s="7" t="str"/>
    </row>
    <row r="24" ht="55" customHeight="1">
      <c r="A24" s="7" t="str">
        <v>PRP-0020</v>
      </c>
      <c r="B24" s="7" t="str">
        <v>弩箭</v>
      </c>
      <c r="C24" s="7" t="str"/>
      <c r="D24" s="7" t="str">
        <v>投射武器；数量未明确</v>
      </c>
      <c r="E24" s="8" t="str">
        <v>未明确</v>
      </c>
      <c r="F24" s="7" t="str">
        <v>未明确</v>
      </c>
      <c r="G24" s="7" t="str">
        <v>未明确</v>
      </c>
      <c r="H24" s="7" t="str">
        <v>按原剧/镜头补充；不因临时生成而省略需求登记</v>
      </c>
      <c r="I24" s="7" t="str">
        <v>第23—28集关联，首次未明确；实际分场未提供</v>
      </c>
      <c r="J24" s="7" t="str">
        <v>待确认</v>
      </c>
      <c r="K24" s="7" t="str">
        <v>补充参考</v>
      </c>
      <c r="L24" s="7" t="str">
        <v>用户精简清单 T8R016</v>
      </c>
      <c r="M24" s="7" t="str">
        <v>P15 特殊武器组；第6集起；按镜头；匕首、铁棍、弩箭等分属不同武器；关键近景各自统一外观。</v>
      </c>
      <c r="N24" s="7" t="str">
        <v>原文明示</v>
      </c>
      <c r="O24" s="7" t="str">
        <v>不适用</v>
      </c>
      <c r="P24" s="7" t="str">
        <v>需原剧分场复核，清单不能证明完整性</v>
      </c>
      <c r="Q24" s="7" t="str"/>
      <c r="R24" s="7" t="str"/>
      <c r="S24" s="7" t="str">
        <v>有效</v>
      </c>
      <c r="T24" s="7" t="str"/>
    </row>
    <row r="25" ht="55" customHeight="1">
      <c r="A25" s="7" t="str">
        <v>PRP-0021</v>
      </c>
      <c r="B25" s="7" t="str">
        <v>棒棒糖</v>
      </c>
      <c r="C25" s="7" t="str"/>
      <c r="D25" s="7" t="str">
        <v>人物习惯物件；次数不等于件数</v>
      </c>
      <c r="E25" s="8" t="str">
        <v>未明确</v>
      </c>
      <c r="F25" s="7" t="str">
        <v>苏小菲</v>
      </c>
      <c r="G25" s="7" t="str">
        <v>未明确</v>
      </c>
      <c r="H25" s="7" t="str">
        <v>按原剧/镜头补充；不因临时生成而省略需求登记</v>
      </c>
      <c r="I25" s="7" t="str">
        <v>第2、3、9集等；实际分场未提供</v>
      </c>
      <c r="J25" s="7" t="str">
        <v>待确认</v>
      </c>
      <c r="K25" s="7" t="str">
        <v>补充参考</v>
      </c>
      <c r="L25" s="7" t="str">
        <v>用户精简清单 T7R002</v>
      </c>
      <c r="M25" s="7" t="str">
        <v>棒棒糖；第2、3、9集等；苏小菲人物常规习惯道具，可放入其日常造型；不必单独建模</v>
      </c>
      <c r="N25" s="7" t="str">
        <v>原文明示</v>
      </c>
      <c r="O25" s="7" t="str">
        <v>不适用</v>
      </c>
      <c r="P25" s="7" t="str">
        <v>需原剧分场复核，清单不能证明完整性</v>
      </c>
      <c r="Q25" s="7" t="str"/>
      <c r="R25" s="7" t="str"/>
      <c r="S25" s="7" t="str">
        <v>有效</v>
      </c>
      <c r="T25" s="7" t="str"/>
    </row>
    <row r="26" ht="55" customHeight="1">
      <c r="A26" s="7" t="str">
        <v>PRP-0022</v>
      </c>
      <c r="B26" s="7" t="str">
        <v>购物袋</v>
      </c>
      <c r="C26" s="7" t="str"/>
      <c r="D26" s="7" t="str">
        <v>携带物；锁定连续段数量与手持位置</v>
      </c>
      <c r="E26" s="8" t="str">
        <v>未明确</v>
      </c>
      <c r="F26" s="7" t="str">
        <v>江辰</v>
      </c>
      <c r="G26" s="7" t="str">
        <v>未明确</v>
      </c>
      <c r="H26" s="7" t="str">
        <v>按原剧/镜头补充；不因临时生成而省略需求登记</v>
      </c>
      <c r="I26" s="7" t="str">
        <v>第6集；实际分场未提供</v>
      </c>
      <c r="J26" s="7" t="str">
        <v>待确认</v>
      </c>
      <c r="K26" s="7" t="str">
        <v>补充参考</v>
      </c>
      <c r="L26" s="7" t="str">
        <v>用户精简清单 T7R003</v>
      </c>
      <c r="M26" s="7" t="str">
        <v>购物袋；第6集；随江辰拎包动作生成，保持该连续段数量与手持位置</v>
      </c>
      <c r="N26" s="7" t="str">
        <v>原文明示</v>
      </c>
      <c r="O26" s="7" t="str">
        <v>不适用</v>
      </c>
      <c r="P26" s="7" t="str">
        <v>需原剧分场复核，清单不能证明完整性</v>
      </c>
      <c r="Q26" s="7" t="str"/>
      <c r="R26" s="7" t="str"/>
      <c r="S26" s="7" t="str">
        <v>有效</v>
      </c>
      <c r="T26" s="7" t="str"/>
    </row>
    <row r="27" ht="55" customHeight="1">
      <c r="A27" s="7" t="str">
        <v>PRP-0023</v>
      </c>
      <c r="B27" s="7" t="str">
        <v>毛巾</v>
      </c>
      <c r="C27" s="7" t="str"/>
      <c r="D27" s="7" t="str">
        <v>受伤护理互动</v>
      </c>
      <c r="E27" s="8" t="str">
        <v>未明确</v>
      </c>
      <c r="F27" s="7" t="str">
        <v>张阎王关联</v>
      </c>
      <c r="G27" s="7" t="str">
        <v>未明确</v>
      </c>
      <c r="H27" s="7" t="str">
        <v>按原剧/镜头补充；不因临时生成而省略需求登记</v>
      </c>
      <c r="I27" s="7" t="str">
        <v>第6集；实际分场未提供</v>
      </c>
      <c r="J27" s="7" t="str">
        <v>待确认</v>
      </c>
      <c r="K27" s="7" t="str">
        <v>补充参考</v>
      </c>
      <c r="L27" s="7" t="str">
        <v>用户精简清单 T7R004</v>
      </c>
      <c r="M27" s="7" t="str">
        <v>毛巾、冰袋；第6集；随张阎王受伤妆造生成</v>
      </c>
      <c r="N27" s="7" t="str">
        <v>原文明示</v>
      </c>
      <c r="O27" s="7" t="str">
        <v>不适用</v>
      </c>
      <c r="P27" s="7" t="str">
        <v>需原剧分场复核，清单不能证明完整性</v>
      </c>
      <c r="Q27" s="7" t="str"/>
      <c r="R27" s="7" t="str"/>
      <c r="S27" s="7" t="str">
        <v>有效</v>
      </c>
      <c r="T27" s="7" t="str"/>
    </row>
    <row r="28" ht="55" customHeight="1">
      <c r="A28" s="7" t="str">
        <v>PRP-0024</v>
      </c>
      <c r="B28" s="7" t="str">
        <v>冰袋</v>
      </c>
      <c r="C28" s="7" t="str"/>
      <c r="D28" s="7" t="str">
        <v>受伤护理互动</v>
      </c>
      <c r="E28" s="8" t="str">
        <v>未明确</v>
      </c>
      <c r="F28" s="7" t="str">
        <v>张阎王关联</v>
      </c>
      <c r="G28" s="7" t="str">
        <v>未明确</v>
      </c>
      <c r="H28" s="7" t="str">
        <v>按原剧/镜头补充；不因临时生成而省略需求登记</v>
      </c>
      <c r="I28" s="7" t="str">
        <v>第6集；实际分场未提供</v>
      </c>
      <c r="J28" s="7" t="str">
        <v>待确认</v>
      </c>
      <c r="K28" s="7" t="str">
        <v>补充参考</v>
      </c>
      <c r="L28" s="7" t="str">
        <v>用户精简清单 T7R004</v>
      </c>
      <c r="M28" s="7" t="str">
        <v>毛巾、冰袋；第6集；随张阎王受伤妆造生成</v>
      </c>
      <c r="N28" s="7" t="str">
        <v>原文明示</v>
      </c>
      <c r="O28" s="7" t="str">
        <v>不适用</v>
      </c>
      <c r="P28" s="7" t="str">
        <v>需原剧分场复核，清单不能证明完整性</v>
      </c>
      <c r="Q28" s="7" t="str"/>
      <c r="R28" s="7" t="str"/>
      <c r="S28" s="7" t="str">
        <v>有效</v>
      </c>
      <c r="T28" s="7" t="str"/>
    </row>
    <row r="29" ht="55" customHeight="1">
      <c r="A29" s="7" t="str">
        <v>PRP-0025</v>
      </c>
      <c r="B29" s="7" t="str">
        <v>玫瑰花束</v>
      </c>
      <c r="C29" s="7" t="str"/>
      <c r="D29" s="7" t="str">
        <v>表白物件；跨镜同束</v>
      </c>
      <c r="E29" s="8" t="str">
        <v>未明确</v>
      </c>
      <c r="F29" s="7" t="str">
        <v>未明确</v>
      </c>
      <c r="G29" s="7" t="str">
        <v>未明确</v>
      </c>
      <c r="H29" s="7" t="str">
        <v>按原剧/镜头补充；不因临时生成而省略需求登记</v>
      </c>
      <c r="I29" s="7" t="str">
        <v>第16—17集；实际分场未提供</v>
      </c>
      <c r="J29" s="7" t="str">
        <v>待确认</v>
      </c>
      <c r="K29" s="7" t="str">
        <v>补充参考</v>
      </c>
      <c r="L29" s="7" t="str">
        <v>用户精简清单 T7R006</v>
      </c>
      <c r="M29" s="7" t="str">
        <v>玫瑰花束；第16—17集；校园表白镜头联动生成，跨镜统一同一束花</v>
      </c>
      <c r="N29" s="7" t="str">
        <v>原文明示</v>
      </c>
      <c r="O29" s="7" t="str">
        <v>不适用</v>
      </c>
      <c r="P29" s="7" t="str">
        <v>需原剧分场复核，清单不能证明完整性</v>
      </c>
      <c r="Q29" s="7" t="str"/>
      <c r="R29" s="7" t="str"/>
      <c r="S29" s="7" t="str">
        <v>有效</v>
      </c>
      <c r="T29" s="7" t="str"/>
    </row>
    <row r="30" ht="55" customHeight="1">
      <c r="A30" s="7" t="str">
        <v>PRP-0026</v>
      </c>
      <c r="B30" s="7" t="str">
        <v>水桶</v>
      </c>
      <c r="C30" s="7" t="str"/>
      <c r="D30" s="7" t="str">
        <v>泼水互动</v>
      </c>
      <c r="E30" s="8" t="str">
        <v>未明确</v>
      </c>
      <c r="F30" s="7" t="str">
        <v>未明确</v>
      </c>
      <c r="G30" s="7" t="str">
        <v>未明确</v>
      </c>
      <c r="H30" s="7" t="str">
        <v>按原剧/镜头补充；不因临时生成而省略需求登记</v>
      </c>
      <c r="I30" s="7" t="str">
        <v>第13集；实际分场未提供</v>
      </c>
      <c r="J30" s="7" t="str">
        <v>待确认</v>
      </c>
      <c r="K30" s="7" t="str">
        <v>补充参考</v>
      </c>
      <c r="L30" s="7" t="str">
        <v>用户精简清单 T7R007</v>
      </c>
      <c r="M30" s="7" t="str">
        <v>水桶；第13集；随泼水动作生成</v>
      </c>
      <c r="N30" s="7" t="str">
        <v>原文明示</v>
      </c>
      <c r="O30" s="7" t="str">
        <v>不适用</v>
      </c>
      <c r="P30" s="7" t="str">
        <v>需原剧分场复核，清单不能证明完整性</v>
      </c>
      <c r="Q30" s="7" t="str"/>
      <c r="R30" s="7" t="str"/>
      <c r="S30" s="7" t="str">
        <v>有效</v>
      </c>
      <c r="T30" s="7" t="str"/>
    </row>
    <row r="31" ht="55" customHeight="1">
      <c r="A31" s="7" t="str">
        <v>PRP-0027</v>
      </c>
      <c r="B31" s="7" t="str">
        <v>雨伞</v>
      </c>
      <c r="C31" s="7" t="str"/>
      <c r="D31" s="7" t="str">
        <v>墓地人物携带</v>
      </c>
      <c r="E31" s="8" t="str">
        <v>未明确</v>
      </c>
      <c r="F31" s="7" t="str">
        <v>未明确</v>
      </c>
      <c r="G31" s="7" t="str">
        <v>未明确</v>
      </c>
      <c r="H31" s="7" t="str">
        <v>按原剧/镜头补充；不因临时生成而省略需求登记</v>
      </c>
      <c r="I31" s="7" t="str">
        <v>第31—32集；实际分场未提供</v>
      </c>
      <c r="J31" s="7" t="str">
        <v>待确认</v>
      </c>
      <c r="K31" s="7" t="str">
        <v>补充参考</v>
      </c>
      <c r="L31" s="7" t="str">
        <v>用户精简清单 T7R008</v>
      </c>
      <c r="M31" s="7" t="str">
        <v>雨伞、鲜花；第31—32集；墓地场景中随人物一起生成</v>
      </c>
      <c r="N31" s="7" t="str">
        <v>原文明示</v>
      </c>
      <c r="O31" s="7" t="str">
        <v>不适用</v>
      </c>
      <c r="P31" s="7" t="str">
        <v>需原剧分场复核，清单不能证明完整性</v>
      </c>
      <c r="Q31" s="7" t="str"/>
      <c r="R31" s="7" t="str"/>
      <c r="S31" s="7" t="str">
        <v>有效</v>
      </c>
      <c r="T31" s="7" t="str"/>
    </row>
    <row r="32" ht="55" customHeight="1">
      <c r="A32" s="7" t="str">
        <v>PRP-0028</v>
      </c>
      <c r="B32" s="7" t="str">
        <v>祭扫鲜花</v>
      </c>
      <c r="C32" s="7" t="str"/>
      <c r="D32" s="7" t="str">
        <v>墓地人物携带；不与表白花束合并</v>
      </c>
      <c r="E32" s="8" t="str">
        <v>未明确</v>
      </c>
      <c r="F32" s="7" t="str">
        <v>未明确</v>
      </c>
      <c r="G32" s="7" t="str">
        <v>未明确</v>
      </c>
      <c r="H32" s="7" t="str">
        <v>按原剧/镜头补充；不因临时生成而省略需求登记</v>
      </c>
      <c r="I32" s="7" t="str">
        <v>第31—32集；实际分场未提供</v>
      </c>
      <c r="J32" s="7" t="str">
        <v>待确认</v>
      </c>
      <c r="K32" s="7" t="str">
        <v>补充参考</v>
      </c>
      <c r="L32" s="7" t="str">
        <v>用户精简清单 T7R008</v>
      </c>
      <c r="M32" s="7" t="str">
        <v>雨伞、鲜花；第31—32集；墓地场景中随人物一起生成</v>
      </c>
      <c r="N32" s="7" t="str">
        <v>原文明示</v>
      </c>
      <c r="O32" s="7" t="str">
        <v>不适用</v>
      </c>
      <c r="P32" s="7" t="str">
        <v>需原剧分场复核，清单不能证明完整性</v>
      </c>
      <c r="Q32" s="7" t="str"/>
      <c r="R32" s="7" t="str"/>
      <c r="S32" s="7" t="str">
        <v>有效</v>
      </c>
      <c r="T32" s="7" t="str"/>
    </row>
    <row r="33" ht="55" customHeight="1">
      <c r="A33" s="7" t="str">
        <v>PRP-0029</v>
      </c>
      <c r="B33" s="7" t="str">
        <v>普通手机</v>
      </c>
      <c r="C33" s="7" t="str"/>
      <c r="D33" s="7" t="str">
        <v>实体终端；屏幕内容另项关联</v>
      </c>
      <c r="E33" s="8" t="str">
        <v>未明确</v>
      </c>
      <c r="F33" s="7" t="str">
        <v>各人机型/实例未明</v>
      </c>
      <c r="G33" s="7" t="str">
        <v>未明确</v>
      </c>
      <c r="H33" s="7" t="str">
        <v>按原剧/镜头补充；不因临时生成而省略需求登记</v>
      </c>
      <c r="I33" s="7" t="str">
        <v>多集，未逐条列明；实际分场未提供</v>
      </c>
      <c r="J33" s="7" t="str">
        <v>待确认</v>
      </c>
      <c r="K33" s="7" t="str">
        <v>补充参考</v>
      </c>
      <c r="L33" s="7" t="str">
        <v>用户精简清单 T7R009</v>
      </c>
      <c r="M33" s="7" t="str">
        <v>普通手机及数据线；多集；数据线第14集；手机外壳可随人物；屏幕消息另列核心屏幕资产</v>
      </c>
      <c r="N33" s="7" t="str">
        <v>原文明示</v>
      </c>
      <c r="O33" s="7" t="str">
        <v>不适用</v>
      </c>
      <c r="P33" s="7" t="str">
        <v>需原剧分场复核，清单不能证明完整性</v>
      </c>
      <c r="Q33" s="7" t="str"/>
      <c r="R33" s="7" t="str"/>
      <c r="S33" s="7" t="str">
        <v>有效</v>
      </c>
      <c r="T33" s="7" t="str"/>
    </row>
    <row r="34" ht="55" customHeight="1">
      <c r="A34" s="7" t="str">
        <v>PRP-0030</v>
      </c>
      <c r="B34" s="7" t="str">
        <v>数据线</v>
      </c>
      <c r="C34" s="7" t="str"/>
      <c r="D34" s="7" t="str">
        <v>连接手机与微型计算机</v>
      </c>
      <c r="E34" s="8" t="str">
        <v>未明确</v>
      </c>
      <c r="F34" s="7" t="str">
        <v>未明确</v>
      </c>
      <c r="G34" s="7" t="str">
        <v>未明确</v>
      </c>
      <c r="H34" s="7" t="str">
        <v>按原剧/镜头补充；不因临时生成而省略需求登记</v>
      </c>
      <c r="I34" s="7" t="str">
        <v>第14集；实际分场未提供</v>
      </c>
      <c r="J34" s="7" t="str">
        <v>待确认</v>
      </c>
      <c r="K34" s="7" t="str">
        <v>补充参考</v>
      </c>
      <c r="L34" s="7" t="str">
        <v>用户精简清单 T7R009</v>
      </c>
      <c r="M34" s="7" t="str">
        <v>普通手机及数据线；多集；数据线第14集；手机外壳可随人物；屏幕消息另列核心屏幕资产</v>
      </c>
      <c r="N34" s="7" t="str">
        <v>原文明示</v>
      </c>
      <c r="O34" s="7" t="str">
        <v>不适用</v>
      </c>
      <c r="P34" s="7" t="str">
        <v>需原剧分场复核，清单不能证明完整性</v>
      </c>
      <c r="Q34" s="7" t="str"/>
      <c r="R34" s="7" t="str"/>
      <c r="S34" s="7" t="str">
        <v>有效</v>
      </c>
      <c r="T34" s="7" t="str"/>
    </row>
    <row r="35" ht="55" customHeight="1">
      <c r="A35" s="7" t="str">
        <v>PRP-0031</v>
      </c>
      <c r="B35" s="7" t="str">
        <v>通讯耳机</v>
      </c>
      <c r="C35" s="7" t="str"/>
      <c r="D35" s="7" t="str">
        <v>佩戴配件</v>
      </c>
      <c r="E35" s="8" t="str">
        <v>未明确</v>
      </c>
      <c r="F35" s="7" t="str">
        <v>江辰/孤狼</v>
      </c>
      <c r="G35" s="7" t="str">
        <v>未明确</v>
      </c>
      <c r="H35" s="7" t="str">
        <v>按原剧/镜头补充；不因临时生成而省略需求登记</v>
      </c>
      <c r="I35" s="7" t="str">
        <v>第1集起；实际分场未提供</v>
      </c>
      <c r="J35" s="7" t="str">
        <v>待确认</v>
      </c>
      <c r="K35" s="7" t="str">
        <v>补充参考</v>
      </c>
      <c r="L35" s="7" t="str">
        <v>用户精简清单 T7R010</v>
      </c>
      <c r="M35" s="7" t="str">
        <v>通讯耳机；第1集起；绑定江辰孤狼人物造型</v>
      </c>
      <c r="N35" s="7" t="str">
        <v>原文明示</v>
      </c>
      <c r="O35" s="7" t="str">
        <v>不适用</v>
      </c>
      <c r="P35" s="7" t="str">
        <v>需原剧分场复核，清单不能证明完整性</v>
      </c>
      <c r="Q35" s="7" t="str"/>
      <c r="R35" s="7" t="str"/>
      <c r="S35" s="7" t="str">
        <v>有效</v>
      </c>
      <c r="T35" s="7" t="str"/>
    </row>
    <row r="36" ht="55" customHeight="1">
      <c r="A36" s="7" t="str">
        <v>PRP-0032</v>
      </c>
      <c r="B36" s="7" t="str">
        <v>硬币</v>
      </c>
      <c r="C36" s="7" t="str"/>
      <c r="D36" s="7" t="str">
        <v>弹射物，统一动作不逐枚建设计</v>
      </c>
      <c r="E36" s="8" t="str">
        <v>未明确</v>
      </c>
      <c r="F36" s="7" t="str">
        <v>未明确</v>
      </c>
      <c r="G36" s="7" t="str">
        <v>未明确</v>
      </c>
      <c r="H36" s="7" t="str">
        <v>按原剧/镜头补充；不因临时生成而省略需求登记</v>
      </c>
      <c r="I36" s="7" t="str">
        <v>第4集起多次；实际分场未提供</v>
      </c>
      <c r="J36" s="7" t="str">
        <v>待确认</v>
      </c>
      <c r="K36" s="7" t="str">
        <v>补充参考</v>
      </c>
      <c r="L36" s="7" t="str">
        <v>用户精简清单 T7R012</v>
      </c>
      <c r="M36" s="7" t="str">
        <v>硬币、石子；第4集起多次；不为每颗建立独立道具；统一弹射、命中、飞行的动作与特效</v>
      </c>
      <c r="N36" s="7" t="str">
        <v>原文明示</v>
      </c>
      <c r="O36" s="7" t="str">
        <v>不适用</v>
      </c>
      <c r="P36" s="7" t="str">
        <v>需原剧分场复核，清单不能证明完整性</v>
      </c>
      <c r="Q36" s="7" t="str"/>
      <c r="R36" s="7" t="str"/>
      <c r="S36" s="7" t="str">
        <v>有效</v>
      </c>
      <c r="T36" s="7" t="str"/>
    </row>
    <row r="37" ht="55" customHeight="1">
      <c r="A37" s="7" t="str">
        <v>PRP-0033</v>
      </c>
      <c r="B37" s="7" t="str">
        <v>石子</v>
      </c>
      <c r="C37" s="7" t="str"/>
      <c r="D37" s="7" t="str">
        <v>弹射物，与硬币分材质</v>
      </c>
      <c r="E37" s="8" t="str">
        <v>未明确</v>
      </c>
      <c r="F37" s="7" t="str">
        <v>未明确</v>
      </c>
      <c r="G37" s="7" t="str">
        <v>未明确</v>
      </c>
      <c r="H37" s="7" t="str">
        <v>按原剧/镜头补充；不因临时生成而省略需求登记</v>
      </c>
      <c r="I37" s="7" t="str">
        <v>第4集起多次；实际分场未提供</v>
      </c>
      <c r="J37" s="7" t="str">
        <v>待确认</v>
      </c>
      <c r="K37" s="7" t="str">
        <v>补充参考</v>
      </c>
      <c r="L37" s="7" t="str">
        <v>用户精简清单 T7R012</v>
      </c>
      <c r="M37" s="7" t="str">
        <v>硬币、石子；第4集起多次；不为每颗建立独立道具；统一弹射、命中、飞行的动作与特效</v>
      </c>
      <c r="N37" s="7" t="str">
        <v>原文明示</v>
      </c>
      <c r="O37" s="7" t="str">
        <v>不适用</v>
      </c>
      <c r="P37" s="7" t="str">
        <v>需原剧分场复核，清单不能证明完整性</v>
      </c>
      <c r="Q37" s="7" t="str"/>
      <c r="R37" s="7" t="str"/>
      <c r="S37" s="7" t="str">
        <v>有效</v>
      </c>
      <c r="T37" s="7" t="str"/>
    </row>
    <row r="38" ht="55" customHeight="1">
      <c r="A38" s="7" t="str">
        <v>PRP-0034</v>
      </c>
      <c r="B38" s="7" t="str">
        <v>工作文件</v>
      </c>
      <c r="C38" s="7" t="str"/>
      <c r="D38" s="7" t="str">
        <v>普通文书；准确文字需求时另补内容</v>
      </c>
      <c r="E38" s="8" t="str">
        <v>未明确</v>
      </c>
      <c r="F38" s="7" t="str">
        <v>未明确</v>
      </c>
      <c r="G38" s="7" t="str">
        <v>未明确</v>
      </c>
      <c r="H38" s="7" t="str">
        <v>按原剧/镜头补充；不因临时生成而省略需求登记</v>
      </c>
      <c r="I38" s="7" t="str">
        <v>多集；实际分场未提供</v>
      </c>
      <c r="J38" s="7" t="str">
        <v>待确认</v>
      </c>
      <c r="K38" s="7" t="str">
        <v>补充参考</v>
      </c>
      <c r="L38" s="7" t="str">
        <v>用户精简清单 T7R013</v>
      </c>
      <c r="M38" s="7" t="str">
        <v>普通工作文件、书稿；多集；在相关工作场景随镜头生成，若需准确文字则后期贴图</v>
      </c>
      <c r="N38" s="7" t="str">
        <v>原文明示</v>
      </c>
      <c r="O38" s="7" t="str">
        <v>不适用</v>
      </c>
      <c r="P38" s="7" t="str">
        <v>需原剧分场复核，清单不能证明完整性</v>
      </c>
      <c r="Q38" s="7" t="str"/>
      <c r="R38" s="7" t="str"/>
      <c r="S38" s="7" t="str">
        <v>有效</v>
      </c>
      <c r="T38" s="7" t="str"/>
    </row>
    <row r="39" ht="55" customHeight="1">
      <c r="A39" s="7" t="str">
        <v>PRP-0035</v>
      </c>
      <c r="B39" s="7" t="str">
        <v>书稿</v>
      </c>
      <c r="C39" s="7" t="str"/>
      <c r="D39" s="7" t="str">
        <v>稿件；不因普通文件相近而误合并</v>
      </c>
      <c r="E39" s="8" t="str">
        <v>未明确</v>
      </c>
      <c r="F39" s="7" t="str">
        <v>未明确</v>
      </c>
      <c r="G39" s="7" t="str">
        <v>未明确</v>
      </c>
      <c r="H39" s="7" t="str">
        <v>按原剧/镜头补充；不因临时生成而省略需求登记</v>
      </c>
      <c r="I39" s="7" t="str">
        <v>多集；实际分场未提供</v>
      </c>
      <c r="J39" s="7" t="str">
        <v>待确认</v>
      </c>
      <c r="K39" s="7" t="str">
        <v>补充参考</v>
      </c>
      <c r="L39" s="7" t="str">
        <v>用户精简清单 T7R013</v>
      </c>
      <c r="M39" s="7" t="str">
        <v>普通工作文件、书稿；多集；在相关工作场景随镜头生成，若需准确文字则后期贴图</v>
      </c>
      <c r="N39" s="7" t="str">
        <v>原文明示</v>
      </c>
      <c r="O39" s="7" t="str">
        <v>不适用</v>
      </c>
      <c r="P39" s="7" t="str">
        <v>需原剧分场复核，清单不能证明完整性</v>
      </c>
      <c r="Q39" s="7" t="str"/>
      <c r="R39" s="7" t="str"/>
      <c r="S39" s="7" t="str">
        <v>有效</v>
      </c>
      <c r="T39" s="7" t="str"/>
    </row>
    <row r="40" ht="70" customHeight="1">
      <c r="A40" s="7" t="str">
        <v>PRP-0036</v>
      </c>
      <c r="B40" s="7" t="str">
        <v>寻找路人英雄广告牌</v>
      </c>
      <c r="C40" s="7" t="str"/>
      <c r="D40" s="7" t="str">
        <v>采访展示物，非咖啡馆固定家具</v>
      </c>
      <c r="E40" s="8" t="str">
        <v>未明确</v>
      </c>
      <c r="F40" s="7" t="str">
        <v>未明确</v>
      </c>
      <c r="G40" s="7" t="str">
        <v>已知文案片段：“寻找路人英雄”；全版文案未提供</v>
      </c>
      <c r="H40" s="7" t="str">
        <v>按原剧/镜头补充；不因临时生成而省略需求登记</v>
      </c>
      <c r="I40" s="7" t="str">
        <v>第2—3集；实际分场未提供</v>
      </c>
      <c r="J40" s="7" t="str">
        <v>待确认</v>
      </c>
      <c r="K40" s="7" t="str">
        <v>补充参考</v>
      </c>
      <c r="L40" s="7" t="str">
        <v>用户精简清单 T10R003</v>
      </c>
      <c r="M40" s="7" t="str">
        <v>第2—3集 咖啡馆；卡座、沙发、咖啡杯、门外立面；P11测谎仪；“寻找路人英雄”广告牌按镜头提供准确文案</v>
      </c>
      <c r="N40" s="7" t="str">
        <v>原文明示</v>
      </c>
      <c r="O40" s="7" t="str">
        <v>不适用</v>
      </c>
      <c r="P40" s="7" t="str">
        <v>需原剧分场复核，清单不能证明完整性</v>
      </c>
      <c r="Q40" s="7" t="str"/>
      <c r="R40" s="7" t="str"/>
      <c r="S40" s="7" t="str">
        <v>有效</v>
      </c>
      <c r="T40" s="7" t="str"/>
    </row>
    <row r="41" ht="55" customHeight="1">
      <c r="A41" s="7" t="str">
        <v>PRP-0037</v>
      </c>
      <c r="B41" s="7" t="str">
        <v>绑缚绳索</v>
      </c>
      <c r="C41" s="7" t="str"/>
      <c r="D41" s="7" t="str">
        <v>挣扎/解救特写按实际镜头锁定</v>
      </c>
      <c r="E41" s="8" t="str">
        <v>未明确</v>
      </c>
      <c r="F41" s="7" t="str">
        <v>绑架关系未明</v>
      </c>
      <c r="G41" s="7" t="str">
        <v>未明确</v>
      </c>
      <c r="H41" s="7" t="str">
        <v>按原剧/镜头补充；不因临时生成而省略需求登记</v>
      </c>
      <c r="I41" s="7" t="str">
        <v>第1集；实际分场未提供</v>
      </c>
      <c r="J41" s="7" t="str">
        <v>待确认</v>
      </c>
      <c r="K41" s="7" t="str">
        <v>补充参考</v>
      </c>
      <c r="L41" s="7" t="str">
        <v>用户精简清单 T6R002</v>
      </c>
      <c r="M41" s="7" t="str">
        <v>国外基地；烧烤架、桌椅、食物、酒瓶、绑架柱、杂物；绳索若进入挣扎/解救特写，随镜头锁定</v>
      </c>
      <c r="N41" s="7" t="str">
        <v>原文明示</v>
      </c>
      <c r="O41" s="7" t="str">
        <v>不适用</v>
      </c>
      <c r="P41" s="7" t="str">
        <v>需原剧分场复核，清单不能证明完整性</v>
      </c>
      <c r="Q41" s="7" t="str"/>
      <c r="R41" s="7" t="str"/>
      <c r="S41" s="7" t="str">
        <v>有效</v>
      </c>
      <c r="T41" s="7" t="str"/>
    </row>
  </sheetData>
  <conditionalFormatting sqref="O5:O141">
    <cfRule type="containsText" dxfId="8" priority="1" operator="containsText" text="待确认"/>
  </conditionalFormatting>
  <conditionalFormatting sqref="P5:P141">
    <cfRule type="expression" dxfId="9" priority="2">
      <formula>AND(P5&lt;&gt;"",P5&lt;&gt;"无新增缺口")</formula>
    </cfRule>
  </conditionalFormatting>
  <dataValidations count="5">
    <dataValidation type="list" sqref="J5:J141">
      <formula1>"入画,声音,提及,待确认"</formula1>
    </dataValidation>
    <dataValidation type="list" sqref="K5:K141">
      <formula1>"沿用基准,补充参考,独立设计,变化过程设计,待判断,不要求可见设计"</formula1>
    </dataValidation>
    <dataValidation type="list" sqref="N5:N141">
      <formula1>"原文明示,合理推断,设计候选"</formula1>
    </dataValidation>
    <dataValidation type="list" sqref="O5:O141">
      <formula1>"待确认,已确认,不适用"</formula1>
    </dataValidation>
    <dataValidation type="list" sqref="S5:S141">
      <formula1>"有效,已合并,已停用"</formula1>
    </dataValidation>
  </dataValidations>
  <hyperlinks>
    <hyperlink ref="C2" location="'使用说明与总览'!A1"/>
  </hyperlinks>
  <pageMargins left="0.7" right="0.7" top="0.75" bottom="0.75" header="0.3" footer="0.3"/>
  <tableParts count="1">
    <tablePart r:id="R3a25e4c7ffe0419f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32" hidden="0" customWidth="1"/>
    <col min="13" max="13" width="22" hidden="0" customWidth="1"/>
    <col min="14" max="14" width="32" hidden="0" customWidth="1"/>
    <col min="15" max="15" width="22" hidden="0" customWidth="1"/>
    <col min="16" max="16" width="22" hidden="0" customWidth="1"/>
    <col min="17" max="17" width="32" hidden="0" customWidth="1"/>
    <col min="18" max="18" width="32" hidden="0" customWidth="1"/>
    <col min="19" max="19" width="32" hidden="0" customWidth="1"/>
    <col min="20" max="20" width="22" hidden="0" customWidth="1"/>
    <col min="21" max="21" width="22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str">
        <v>出现与变化明细</v>
      </c>
      <c r="B2" s="1"/>
      <c r="C2" s="1" t="str">
        <v>返回总览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38" customHeight="1">
      <c r="A4" s="5" t="str">
        <v>明细编号</v>
      </c>
      <c r="B4" s="5" t="str">
        <v>集场编号</v>
      </c>
      <c r="C4" s="5" t="str">
        <v>事件序号</v>
      </c>
      <c r="D4" s="5" t="str">
        <v>资产编号</v>
      </c>
      <c r="E4" s="5" t="str">
        <v>关联变体</v>
      </c>
      <c r="F4" s="5" t="str">
        <v>实例标识</v>
      </c>
      <c r="G4" s="5" t="str">
        <v>出现方式</v>
      </c>
      <c r="H4" s="5" t="str">
        <v>叙事层</v>
      </c>
      <c r="I4" s="5" t="str">
        <v>持有或位置</v>
      </c>
      <c r="J4" s="5" t="str">
        <v>初态</v>
      </c>
      <c r="K4" s="5" t="str">
        <v>末态</v>
      </c>
      <c r="L4" s="5" t="str">
        <v>交互与连续性</v>
      </c>
      <c r="M4" s="5" t="str">
        <v>原文定位</v>
      </c>
      <c r="N4" s="5" t="str">
        <v>原文摘录</v>
      </c>
      <c r="O4" s="5" t="str">
        <v>证据性质</v>
      </c>
      <c r="P4" s="5" t="str">
        <v>确认状态</v>
      </c>
      <c r="Q4" s="5" t="str">
        <v>待确认项</v>
      </c>
      <c r="R4" s="5" t="str">
        <v>用户批注</v>
      </c>
      <c r="S4" s="5" t="str">
        <v>变更说明</v>
      </c>
      <c r="T4" s="5" t="str">
        <v>记录状态</v>
      </c>
      <c r="U4" s="5" t="str">
        <v>合并至编号</v>
      </c>
    </row>
    <row r="5" ht="48" customHeight="1">
      <c r="A5" s="7" t="str">
        <v>USE-0001</v>
      </c>
      <c r="B5" s="7" t="str">
        <v>未提供分场｜第1集起</v>
      </c>
      <c r="C5" s="8" t="n">
        <v>1</v>
      </c>
      <c r="D5" s="9" t="str">
        <v>CHR-0001</v>
      </c>
      <c r="E5" s="9" t="str">
        <v>CHV-0001</v>
      </c>
      <c r="F5" s="7" t="str"/>
      <c r="G5" s="7" t="str">
        <v>待确认</v>
      </c>
      <c r="H5" s="7" t="str">
        <v>未明确</v>
      </c>
      <c r="I5" s="7" t="str">
        <v>未明确</v>
      </c>
      <c r="J5" s="7" t="str">
        <v>未明确</v>
      </c>
      <c r="K5" s="7" t="str">
        <v>未明确</v>
      </c>
      <c r="L5" s="7" t="str">
        <v>仅清单级需求定位；无逐场出入状态证据</v>
      </c>
      <c r="M5" s="7" t="str">
        <v>用户精简清单 T7R010</v>
      </c>
      <c r="N5" s="7" t="str">
        <v>通讯耳机；第1集起；绑定江辰孤狼人物造型</v>
      </c>
      <c r="O5" s="7" t="str">
        <v>原文明示</v>
      </c>
      <c r="P5" s="7" t="str">
        <v>不适用</v>
      </c>
      <c r="Q5" s="7" t="str">
        <v>需原剧分场复核，清单不能证明完整性</v>
      </c>
      <c r="R5" s="7" t="str"/>
      <c r="S5" s="7" t="str"/>
      <c r="T5" s="7" t="str">
        <v>有效</v>
      </c>
      <c r="U5" s="7" t="str"/>
    </row>
    <row r="6" ht="85" customHeight="1">
      <c r="A6" s="7" t="str">
        <v>USE-0002</v>
      </c>
      <c r="B6" s="7" t="str">
        <v>未提供分场｜第1集仅玉关联，首次本人入画未明</v>
      </c>
      <c r="C6" s="8" t="n">
        <v>2</v>
      </c>
      <c r="D6" s="9" t="str">
        <v>CHR-0002</v>
      </c>
      <c r="E6" s="9" t="str">
        <v>CHV-0002</v>
      </c>
      <c r="F6" s="7" t="str"/>
      <c r="G6" s="7" t="str">
        <v>待确认</v>
      </c>
      <c r="H6" s="7" t="str">
        <v>未明确</v>
      </c>
      <c r="I6" s="7" t="str">
        <v>未明确</v>
      </c>
      <c r="J6" s="7" t="str">
        <v>未明确</v>
      </c>
      <c r="K6" s="7" t="str">
        <v>未明确</v>
      </c>
      <c r="L6" s="7" t="str">
        <v>仅清单级需求定位；无逐场出入状态证据</v>
      </c>
      <c r="M6" s="7" t="str">
        <v>用户精简清单 T8R002</v>
      </c>
      <c r="N6" s="7" t="str">
        <v>P01 西王母玉（阴/阳）；第1集提及；必须独立；阴玉与苏小菲身体融合；阳玉关联江辰。分实物历史状态和身体能量表现，不默认是可随手取出的玉佩。</v>
      </c>
      <c r="O6" s="7" t="str">
        <v>原文明示</v>
      </c>
      <c r="P6" s="7" t="str">
        <v>不适用</v>
      </c>
      <c r="Q6" s="7" t="str">
        <v>需原剧分场复核，清单不能证明完整性</v>
      </c>
      <c r="R6" s="7" t="str"/>
      <c r="S6" s="7" t="str"/>
      <c r="T6" s="7" t="str">
        <v>有效</v>
      </c>
      <c r="U6" s="7" t="str"/>
    </row>
    <row r="7" ht="48" customHeight="1">
      <c r="A7" s="7" t="str">
        <v>USE-0003</v>
      </c>
      <c r="B7" s="7" t="str">
        <v>未提供分场｜第6集</v>
      </c>
      <c r="C7" s="8" t="n">
        <v>3</v>
      </c>
      <c r="D7" s="9" t="str">
        <v>CHR-0003</v>
      </c>
      <c r="E7" s="9" t="str">
        <v>CHV-0003</v>
      </c>
      <c r="F7" s="7" t="str"/>
      <c r="G7" s="7" t="str">
        <v>待确认</v>
      </c>
      <c r="H7" s="7" t="str">
        <v>未明确</v>
      </c>
      <c r="I7" s="7" t="str">
        <v>未明确</v>
      </c>
      <c r="J7" s="7" t="str">
        <v>未明确</v>
      </c>
      <c r="K7" s="7" t="str">
        <v>未明确</v>
      </c>
      <c r="L7" s="7" t="str">
        <v>仅清单级需求定位；无逐场出入状态证据</v>
      </c>
      <c r="M7" s="7" t="str">
        <v>用户精简清单 T7R004</v>
      </c>
      <c r="N7" s="7" t="str">
        <v>毛巾、冰袋；第6集；随张阎王受伤妆造生成</v>
      </c>
      <c r="O7" s="7" t="str">
        <v>原文明示</v>
      </c>
      <c r="P7" s="7" t="str">
        <v>不适用</v>
      </c>
      <c r="Q7" s="7" t="str">
        <v>需原剧分场复核，清单不能证明完整性</v>
      </c>
      <c r="R7" s="7" t="str"/>
      <c r="S7" s="7" t="str"/>
      <c r="T7" s="7" t="str">
        <v>有效</v>
      </c>
      <c r="U7" s="7" t="str"/>
    </row>
    <row r="8" ht="55" customHeight="1">
      <c r="A8" s="7" t="str">
        <v>USE-0004</v>
      </c>
      <c r="B8" s="7" t="str">
        <v>未提供分场｜第19集</v>
      </c>
      <c r="C8" s="8" t="n">
        <v>4</v>
      </c>
      <c r="D8" s="9" t="str">
        <v>CHR-0004</v>
      </c>
      <c r="E8" s="9" t="str">
        <v>CHV-0004</v>
      </c>
      <c r="F8" s="7" t="str"/>
      <c r="G8" s="7" t="str">
        <v>待确认</v>
      </c>
      <c r="H8" s="7" t="str">
        <v>未明确</v>
      </c>
      <c r="I8" s="7" t="str">
        <v>未明确</v>
      </c>
      <c r="J8" s="7" t="str">
        <v>未明确</v>
      </c>
      <c r="K8" s="7" t="str">
        <v>未明确</v>
      </c>
      <c r="L8" s="7" t="str">
        <v>仅清单级需求定位；无逐场出入状态证据</v>
      </c>
      <c r="M8" s="7" t="str">
        <v>用户精简清单 T8R008</v>
      </c>
      <c r="N8" s="7" t="str">
        <v>P07 周天钢铁拳套；第19集；必须独立；完整、受击、裂纹、破裂；需与耳环尺寸和攻击方向匹配。</v>
      </c>
      <c r="O8" s="7" t="str">
        <v>原文明示</v>
      </c>
      <c r="P8" s="7" t="str">
        <v>不适用</v>
      </c>
      <c r="Q8" s="7" t="str">
        <v>需原剧分场复核，清单不能证明完整性</v>
      </c>
      <c r="R8" s="7" t="str"/>
      <c r="S8" s="7" t="str"/>
      <c r="T8" s="7" t="str">
        <v>有效</v>
      </c>
      <c r="U8" s="7" t="str"/>
    </row>
    <row r="9" ht="55" customHeight="1">
      <c r="A9" s="7" t="str">
        <v>USE-0005</v>
      </c>
      <c r="B9" s="7" t="str">
        <v>未提供分场｜第9集</v>
      </c>
      <c r="C9" s="8" t="n">
        <v>5</v>
      </c>
      <c r="D9" s="9" t="str">
        <v>CHR-0005</v>
      </c>
      <c r="E9" s="9" t="str">
        <v>CHV-0005</v>
      </c>
      <c r="F9" s="7" t="str"/>
      <c r="G9" s="7" t="str">
        <v>待确认</v>
      </c>
      <c r="H9" s="7" t="str">
        <v>未明确</v>
      </c>
      <c r="I9" s="7" t="str">
        <v>未明确</v>
      </c>
      <c r="J9" s="7" t="str">
        <v>未明确</v>
      </c>
      <c r="K9" s="7" t="str">
        <v>未明确</v>
      </c>
      <c r="L9" s="7" t="str">
        <v>仅清单级需求定位；无逐场出入状态证据</v>
      </c>
      <c r="M9" s="7" t="str">
        <v>用户精简清单 T8R009</v>
      </c>
      <c r="N9" s="7" t="str">
        <v>P08 血手红手套；第9集；必须独立；标志性血红色手套，固定左右手与接触动作。</v>
      </c>
      <c r="O9" s="7" t="str">
        <v>原文明示</v>
      </c>
      <c r="P9" s="7" t="str">
        <v>不适用</v>
      </c>
      <c r="Q9" s="7" t="str">
        <v>需原剧分场复核，清单不能证明完整性</v>
      </c>
      <c r="R9" s="7" t="str"/>
      <c r="S9" s="7" t="str"/>
      <c r="T9" s="7" t="str">
        <v>有效</v>
      </c>
      <c r="U9" s="7" t="str"/>
    </row>
    <row r="10" ht="55" customHeight="1">
      <c r="A10" s="7" t="str">
        <v>USE-0006</v>
      </c>
      <c r="B10" s="7" t="str">
        <v>未提供分场｜首次入画未明确；飞刀第58集</v>
      </c>
      <c r="C10" s="8" t="n">
        <v>6</v>
      </c>
      <c r="D10" s="9" t="str">
        <v>CHR-0006</v>
      </c>
      <c r="E10" s="9" t="str">
        <v>CHV-0006</v>
      </c>
      <c r="F10" s="7" t="str"/>
      <c r="G10" s="7" t="str">
        <v>待确认</v>
      </c>
      <c r="H10" s="7" t="str">
        <v>未明确</v>
      </c>
      <c r="I10" s="7" t="str">
        <v>未明确</v>
      </c>
      <c r="J10" s="7" t="str">
        <v>未明确</v>
      </c>
      <c r="K10" s="7" t="str">
        <v>未明确</v>
      </c>
      <c r="L10" s="7" t="str">
        <v>仅清单级需求定位；无逐场出入状态证据</v>
      </c>
      <c r="M10" s="7" t="str">
        <v>用户精简清单 T8R010</v>
      </c>
      <c r="N10" s="7" t="str">
        <v>P09 银女飞刀；第58集；必须独立；三把/九把，黑气附着、金光转化与回射。</v>
      </c>
      <c r="O10" s="7" t="str">
        <v>原文明示</v>
      </c>
      <c r="P10" s="7" t="str">
        <v>不适用</v>
      </c>
      <c r="Q10" s="7" t="str">
        <v>需原剧分场复核，清单不能证明完整性</v>
      </c>
      <c r="R10" s="7" t="str"/>
      <c r="S10" s="7" t="str"/>
      <c r="T10" s="7" t="str">
        <v>有效</v>
      </c>
      <c r="U10" s="7" t="str"/>
    </row>
    <row r="11" ht="85" customHeight="1">
      <c r="A11" s="7" t="str">
        <v>USE-0007</v>
      </c>
      <c r="B11" s="7" t="str">
        <v>未提供分场｜未明确</v>
      </c>
      <c r="C11" s="8" t="n">
        <v>7</v>
      </c>
      <c r="D11" s="9" t="str">
        <v>CHR-0007</v>
      </c>
      <c r="E11" s="9" t="str">
        <v>CHV-0007</v>
      </c>
      <c r="F11" s="7" t="str"/>
      <c r="G11" s="7" t="str">
        <v>待确认</v>
      </c>
      <c r="H11" s="7" t="str">
        <v>未明确</v>
      </c>
      <c r="I11" s="7" t="str">
        <v>未明确</v>
      </c>
      <c r="J11" s="7" t="str">
        <v>未明确</v>
      </c>
      <c r="K11" s="7" t="str">
        <v>未明确</v>
      </c>
      <c r="L11" s="7" t="str">
        <v>仅清单级需求定位；无逐场出入状态证据</v>
      </c>
      <c r="M11" s="7" t="str">
        <v>用户精简清单 P039</v>
      </c>
      <c r="N11" s="7" t="str">
        <v>3. 银女修炼密室、鲨鱼会议密室、神秘面具女性所在密室是否为同一实际地点，剧本未明确说明；在制作资产时可复用美术设计，但不能擅自认定为同一个房间。</v>
      </c>
      <c r="O11" s="7" t="str">
        <v>原文明示</v>
      </c>
      <c r="P11" s="7" t="str">
        <v>不适用</v>
      </c>
      <c r="Q11" s="7" t="str">
        <v>需原剧分场复核，清单不能证明完整性</v>
      </c>
      <c r="R11" s="7" t="str"/>
      <c r="S11" s="7" t="str"/>
      <c r="T11" s="7" t="str">
        <v>有效</v>
      </c>
      <c r="U11" s="7" t="str"/>
    </row>
    <row r="12" ht="85" customHeight="1">
      <c r="A12" s="7" t="str">
        <v>USE-0008</v>
      </c>
      <c r="B12" s="7" t="str">
        <v>未提供分场｜未明确</v>
      </c>
      <c r="C12" s="8" t="n">
        <v>8</v>
      </c>
      <c r="D12" s="9" t="str">
        <v>CHR-0008</v>
      </c>
      <c r="E12" s="9" t="str">
        <v>CHV-0008</v>
      </c>
      <c r="F12" s="7" t="str"/>
      <c r="G12" s="7" t="str">
        <v>待确认</v>
      </c>
      <c r="H12" s="7" t="str">
        <v>未明确</v>
      </c>
      <c r="I12" s="7" t="str">
        <v>未明确</v>
      </c>
      <c r="J12" s="7" t="str">
        <v>未明确</v>
      </c>
      <c r="K12" s="7" t="str">
        <v>未明确</v>
      </c>
      <c r="L12" s="7" t="str">
        <v>仅清单级需求定位；无逐场出入状态证据</v>
      </c>
      <c r="M12" s="7" t="str">
        <v>用户精简清单 P039</v>
      </c>
      <c r="N12" s="7" t="str">
        <v>3. 银女修炼密室、鲨鱼会议密室、神秘面具女性所在密室是否为同一实际地点，剧本未明确说明；在制作资产时可复用美术设计，但不能擅自认定为同一个房间。</v>
      </c>
      <c r="O12" s="7" t="str">
        <v>原文明示</v>
      </c>
      <c r="P12" s="7" t="str">
        <v>不适用</v>
      </c>
      <c r="Q12" s="7" t="str">
        <v>需原剧分场复核，清单不能证明完整性</v>
      </c>
      <c r="R12" s="7" t="str"/>
      <c r="S12" s="7" t="str"/>
      <c r="T12" s="7" t="str">
        <v>有效</v>
      </c>
      <c r="U12" s="7" t="str"/>
    </row>
    <row r="13" ht="48" customHeight="1">
      <c r="A13" s="7" t="str">
        <v>USE-0009</v>
      </c>
      <c r="B13" s="7" t="str">
        <v>未提供分场｜第31—32集墓地关联</v>
      </c>
      <c r="C13" s="8" t="n">
        <v>9</v>
      </c>
      <c r="D13" s="9" t="str">
        <v>CHR-0009</v>
      </c>
      <c r="E13" s="7" t="str"/>
      <c r="F13" s="7" t="str"/>
      <c r="G13" s="7" t="str">
        <v>提及</v>
      </c>
      <c r="H13" s="7" t="str">
        <v>未明确</v>
      </c>
      <c r="I13" s="7" t="str">
        <v>未明确</v>
      </c>
      <c r="J13" s="7" t="str">
        <v>未明确</v>
      </c>
      <c r="K13" s="7" t="str">
        <v>未明确</v>
      </c>
      <c r="L13" s="7" t="str">
        <v>仅清单级需求定位；无逐场出入状态证据</v>
      </c>
      <c r="M13" s="7" t="str">
        <v>用户精简清单 T6R011</v>
      </c>
      <c r="N13" s="7" t="str">
        <v>墓地；墓碑、墓道、背景植被；江辰父母的合葬墓碑位置和特征固定</v>
      </c>
      <c r="O13" s="7" t="str">
        <v>原文明示</v>
      </c>
      <c r="P13" s="7" t="str">
        <v>不适用</v>
      </c>
      <c r="Q13" s="7" t="str">
        <v>需原剧分场复核，清单不能证明完整性</v>
      </c>
      <c r="R13" s="7" t="str"/>
      <c r="S13" s="7" t="str"/>
      <c r="T13" s="7" t="str">
        <v>有效</v>
      </c>
      <c r="U13" s="7" t="str"/>
    </row>
    <row r="14" ht="48" customHeight="1">
      <c r="A14" s="7" t="str">
        <v>USE-0010</v>
      </c>
      <c r="B14" s="7" t="str">
        <v>未提供分场｜第31—32集墓地关联</v>
      </c>
      <c r="C14" s="8" t="n">
        <v>10</v>
      </c>
      <c r="D14" s="9" t="str">
        <v>CHR-0010</v>
      </c>
      <c r="E14" s="7" t="str"/>
      <c r="F14" s="7" t="str"/>
      <c r="G14" s="7" t="str">
        <v>提及</v>
      </c>
      <c r="H14" s="7" t="str">
        <v>未明确</v>
      </c>
      <c r="I14" s="7" t="str">
        <v>未明确</v>
      </c>
      <c r="J14" s="7" t="str">
        <v>未明确</v>
      </c>
      <c r="K14" s="7" t="str">
        <v>未明确</v>
      </c>
      <c r="L14" s="7" t="str">
        <v>仅清单级需求定位；无逐场出入状态证据</v>
      </c>
      <c r="M14" s="7" t="str">
        <v>用户精简清单 T6R011</v>
      </c>
      <c r="N14" s="7" t="str">
        <v>墓地；墓碑、墓道、背景植被；江辰父母的合葬墓碑位置和特征固定</v>
      </c>
      <c r="O14" s="7" t="str">
        <v>原文明示</v>
      </c>
      <c r="P14" s="7" t="str">
        <v>不适用</v>
      </c>
      <c r="Q14" s="7" t="str">
        <v>需原剧分场复核，清单不能证明完整性</v>
      </c>
      <c r="R14" s="7" t="str"/>
      <c r="S14" s="7" t="str"/>
      <c r="T14" s="7" t="str">
        <v>有效</v>
      </c>
      <c r="U14" s="7" t="str"/>
    </row>
    <row r="15" ht="55" customHeight="1">
      <c r="A15" s="7" t="str">
        <v>USE-0011</v>
      </c>
      <c r="B15" s="7" t="str">
        <v>未提供分场｜第3—8集别墅关联</v>
      </c>
      <c r="C15" s="8" t="n">
        <v>11</v>
      </c>
      <c r="D15" s="9" t="str">
        <v>CHR-0011</v>
      </c>
      <c r="E15" s="9" t="str">
        <v>CHV-0009</v>
      </c>
      <c r="F15" s="7" t="str"/>
      <c r="G15" s="7" t="str">
        <v>待确认</v>
      </c>
      <c r="H15" s="7" t="str">
        <v>未明确</v>
      </c>
      <c r="I15" s="7" t="str">
        <v>未明确</v>
      </c>
      <c r="J15" s="7" t="str">
        <v>未明确</v>
      </c>
      <c r="K15" s="7" t="str">
        <v>未明确</v>
      </c>
      <c r="L15" s="7" t="str">
        <v>仅清单级需求定位；无逐场出入状态证据</v>
      </c>
      <c r="M15" s="7" t="str">
        <v>用户精简清单 T9R003</v>
      </c>
      <c r="N15" s="7" t="str">
        <v>动物角色；藏獒“大将军”；独立角色资产：趴卧、龇牙、扑出、服从、摇尾等动作。</v>
      </c>
      <c r="O15" s="7" t="str">
        <v>原文明示</v>
      </c>
      <c r="P15" s="7" t="str">
        <v>不适用</v>
      </c>
      <c r="Q15" s="7" t="str">
        <v>需原剧分场复核，清单不能证明完整性</v>
      </c>
      <c r="R15" s="7" t="str"/>
      <c r="S15" s="7" t="str"/>
      <c r="T15" s="7" t="str">
        <v>有效</v>
      </c>
      <c r="U15" s="7" t="str"/>
    </row>
    <row r="16" ht="70" customHeight="1">
      <c r="A16" s="7" t="str">
        <v>USE-0012</v>
      </c>
      <c r="B16" s="7" t="str">
        <v>未提供分场｜未明确</v>
      </c>
      <c r="C16" s="8" t="n">
        <v>12</v>
      </c>
      <c r="D16" s="9" t="str">
        <v>CHR-0012</v>
      </c>
      <c r="E16" s="9" t="str">
        <v>CHV-0010</v>
      </c>
      <c r="F16" s="7" t="str"/>
      <c r="G16" s="7" t="str">
        <v>待确认</v>
      </c>
      <c r="H16" s="7" t="str">
        <v>未明确</v>
      </c>
      <c r="I16" s="7" t="str">
        <v>未明确</v>
      </c>
      <c r="J16" s="7" t="str">
        <v>未明确</v>
      </c>
      <c r="K16" s="7" t="str">
        <v>未明确</v>
      </c>
      <c r="L16" s="7" t="str">
        <v>仅清单级需求定位；无逐场出入状态证据</v>
      </c>
      <c r="M16" s="7" t="str">
        <v>用户精简清单 T9R005</v>
      </c>
      <c r="N16" s="7" t="str">
        <v>群演与组织；绑匪、打手、杀手、特工、战神卫、地下势力等；属于人物/群演资产，不计入场景或道具数量。</v>
      </c>
      <c r="O16" s="7" t="str">
        <v>原文明示</v>
      </c>
      <c r="P16" s="7" t="str">
        <v>不适用</v>
      </c>
      <c r="Q16" s="7" t="str">
        <v>需原剧分场复核，清单不能证明完整性</v>
      </c>
      <c r="R16" s="7" t="str"/>
      <c r="S16" s="7" t="str"/>
      <c r="T16" s="7" t="str">
        <v>有效</v>
      </c>
      <c r="U16" s="7" t="str"/>
    </row>
    <row r="17" ht="70" customHeight="1">
      <c r="A17" s="7" t="str">
        <v>USE-0013</v>
      </c>
      <c r="B17" s="7" t="str">
        <v>未提供分场｜未明确</v>
      </c>
      <c r="C17" s="8" t="n">
        <v>13</v>
      </c>
      <c r="D17" s="9" t="str">
        <v>CHR-0013</v>
      </c>
      <c r="E17" s="9" t="str">
        <v>CHV-0011</v>
      </c>
      <c r="F17" s="7" t="str"/>
      <c r="G17" s="7" t="str">
        <v>待确认</v>
      </c>
      <c r="H17" s="7" t="str">
        <v>未明确</v>
      </c>
      <c r="I17" s="7" t="str">
        <v>未明确</v>
      </c>
      <c r="J17" s="7" t="str">
        <v>未明确</v>
      </c>
      <c r="K17" s="7" t="str">
        <v>未明确</v>
      </c>
      <c r="L17" s="7" t="str">
        <v>仅清单级需求定位；无逐场出入状态证据</v>
      </c>
      <c r="M17" s="7" t="str">
        <v>用户精简清单 T9R005</v>
      </c>
      <c r="N17" s="7" t="str">
        <v>群演与组织；绑匪、打手、杀手、特工、战神卫、地下势力等；属于人物/群演资产，不计入场景或道具数量。</v>
      </c>
      <c r="O17" s="7" t="str">
        <v>原文明示</v>
      </c>
      <c r="P17" s="7" t="str">
        <v>不适用</v>
      </c>
      <c r="Q17" s="7" t="str">
        <v>需原剧分场复核，清单不能证明完整性</v>
      </c>
      <c r="R17" s="7" t="str"/>
      <c r="S17" s="7" t="str"/>
      <c r="T17" s="7" t="str">
        <v>有效</v>
      </c>
      <c r="U17" s="7" t="str"/>
    </row>
    <row r="18" ht="70" customHeight="1">
      <c r="A18" s="7" t="str">
        <v>USE-0014</v>
      </c>
      <c r="B18" s="7" t="str">
        <v>未提供分场｜未明确</v>
      </c>
      <c r="C18" s="8" t="n">
        <v>14</v>
      </c>
      <c r="D18" s="9" t="str">
        <v>CHR-0014</v>
      </c>
      <c r="E18" s="9" t="str">
        <v>CHV-0012</v>
      </c>
      <c r="F18" s="7" t="str"/>
      <c r="G18" s="7" t="str">
        <v>待确认</v>
      </c>
      <c r="H18" s="7" t="str">
        <v>未明确</v>
      </c>
      <c r="I18" s="7" t="str">
        <v>未明确</v>
      </c>
      <c r="J18" s="7" t="str">
        <v>未明确</v>
      </c>
      <c r="K18" s="7" t="str">
        <v>未明确</v>
      </c>
      <c r="L18" s="7" t="str">
        <v>仅清单级需求定位；无逐场出入状态证据</v>
      </c>
      <c r="M18" s="7" t="str">
        <v>用户精简清单 T9R005</v>
      </c>
      <c r="N18" s="7" t="str">
        <v>群演与组织；绑匪、打手、杀手、特工、战神卫、地下势力等；属于人物/群演资产，不计入场景或道具数量。</v>
      </c>
      <c r="O18" s="7" t="str">
        <v>原文明示</v>
      </c>
      <c r="P18" s="7" t="str">
        <v>不适用</v>
      </c>
      <c r="Q18" s="7" t="str">
        <v>需原剧分场复核，清单不能证明完整性</v>
      </c>
      <c r="R18" s="7" t="str"/>
      <c r="S18" s="7" t="str"/>
      <c r="T18" s="7" t="str">
        <v>有效</v>
      </c>
      <c r="U18" s="7" t="str"/>
    </row>
    <row r="19" ht="70" customHeight="1">
      <c r="A19" s="7" t="str">
        <v>USE-0015</v>
      </c>
      <c r="B19" s="7" t="str">
        <v>未提供分场｜未明确</v>
      </c>
      <c r="C19" s="8" t="n">
        <v>15</v>
      </c>
      <c r="D19" s="9" t="str">
        <v>CHR-0015</v>
      </c>
      <c r="E19" s="9" t="str">
        <v>CHV-0013</v>
      </c>
      <c r="F19" s="7" t="str"/>
      <c r="G19" s="7" t="str">
        <v>待确认</v>
      </c>
      <c r="H19" s="7" t="str">
        <v>未明确</v>
      </c>
      <c r="I19" s="7" t="str">
        <v>未明确</v>
      </c>
      <c r="J19" s="7" t="str">
        <v>未明确</v>
      </c>
      <c r="K19" s="7" t="str">
        <v>未明确</v>
      </c>
      <c r="L19" s="7" t="str">
        <v>仅清单级需求定位；无逐场出入状态证据</v>
      </c>
      <c r="M19" s="7" t="str">
        <v>用户精简清单 T9R005</v>
      </c>
      <c r="N19" s="7" t="str">
        <v>群演与组织；绑匪、打手、杀手、特工、战神卫、地下势力等；属于人物/群演资产，不计入场景或道具数量。</v>
      </c>
      <c r="O19" s="7" t="str">
        <v>原文明示</v>
      </c>
      <c r="P19" s="7" t="str">
        <v>不适用</v>
      </c>
      <c r="Q19" s="7" t="str">
        <v>需原剧分场复核，清单不能证明完整性</v>
      </c>
      <c r="R19" s="7" t="str"/>
      <c r="S19" s="7" t="str"/>
      <c r="T19" s="7" t="str">
        <v>有效</v>
      </c>
      <c r="U19" s="7" t="str"/>
    </row>
    <row r="20" ht="70" customHeight="1">
      <c r="A20" s="7" t="str">
        <v>USE-0016</v>
      </c>
      <c r="B20" s="7" t="str">
        <v>未提供分场｜未明确</v>
      </c>
      <c r="C20" s="8" t="n">
        <v>16</v>
      </c>
      <c r="D20" s="9" t="str">
        <v>CHR-0016</v>
      </c>
      <c r="E20" s="9" t="str">
        <v>CHV-0014</v>
      </c>
      <c r="F20" s="7" t="str"/>
      <c r="G20" s="7" t="str">
        <v>待确认</v>
      </c>
      <c r="H20" s="7" t="str">
        <v>未明确</v>
      </c>
      <c r="I20" s="7" t="str">
        <v>未明确</v>
      </c>
      <c r="J20" s="7" t="str">
        <v>未明确</v>
      </c>
      <c r="K20" s="7" t="str">
        <v>未明确</v>
      </c>
      <c r="L20" s="7" t="str">
        <v>仅清单级需求定位；无逐场出入状态证据</v>
      </c>
      <c r="M20" s="7" t="str">
        <v>用户精简清单 T9R005</v>
      </c>
      <c r="N20" s="7" t="str">
        <v>群演与组织；绑匪、打手、杀手、特工、战神卫、地下势力等；属于人物/群演资产，不计入场景或道具数量。</v>
      </c>
      <c r="O20" s="7" t="str">
        <v>原文明示</v>
      </c>
      <c r="P20" s="7" t="str">
        <v>不适用</v>
      </c>
      <c r="Q20" s="7" t="str">
        <v>需原剧分场复核，清单不能证明完整性</v>
      </c>
      <c r="R20" s="7" t="str"/>
      <c r="S20" s="7" t="str"/>
      <c r="T20" s="7" t="str">
        <v>有效</v>
      </c>
      <c r="U20" s="7" t="str"/>
    </row>
    <row r="21" ht="70" customHeight="1">
      <c r="A21" s="7" t="str">
        <v>USE-0017</v>
      </c>
      <c r="B21" s="7" t="str">
        <v>未提供分场｜未明确</v>
      </c>
      <c r="C21" s="8" t="n">
        <v>17</v>
      </c>
      <c r="D21" s="9" t="str">
        <v>CHR-0017</v>
      </c>
      <c r="E21" s="9" t="str">
        <v>CHV-0015</v>
      </c>
      <c r="F21" s="7" t="str"/>
      <c r="G21" s="7" t="str">
        <v>待确认</v>
      </c>
      <c r="H21" s="7" t="str">
        <v>未明确</v>
      </c>
      <c r="I21" s="7" t="str">
        <v>未明确</v>
      </c>
      <c r="J21" s="7" t="str">
        <v>未明确</v>
      </c>
      <c r="K21" s="7" t="str">
        <v>未明确</v>
      </c>
      <c r="L21" s="7" t="str">
        <v>仅清单级需求定位；无逐场出入状态证据</v>
      </c>
      <c r="M21" s="7" t="str">
        <v>用户精简清单 T9R005</v>
      </c>
      <c r="N21" s="7" t="str">
        <v>群演与组织；绑匪、打手、杀手、特工、战神卫、地下势力等；属于人物/群演资产，不计入场景或道具数量。</v>
      </c>
      <c r="O21" s="7" t="str">
        <v>原文明示</v>
      </c>
      <c r="P21" s="7" t="str">
        <v>不适用</v>
      </c>
      <c r="Q21" s="7" t="str">
        <v>需原剧分场复核，清单不能证明完整性</v>
      </c>
      <c r="R21" s="7" t="str"/>
      <c r="S21" s="7" t="str"/>
      <c r="T21" s="7" t="str">
        <v>有效</v>
      </c>
      <c r="U21" s="7" t="str"/>
    </row>
    <row r="22" ht="70" customHeight="1">
      <c r="A22" s="7" t="str">
        <v>USE-0018</v>
      </c>
      <c r="B22" s="7" t="str">
        <v>未提供分场｜第9集起</v>
      </c>
      <c r="C22" s="8" t="n">
        <v>18</v>
      </c>
      <c r="D22" s="9" t="str">
        <v>CHR-0018</v>
      </c>
      <c r="E22" s="9" t="str">
        <v>CHV-0016</v>
      </c>
      <c r="F22" s="7" t="str"/>
      <c r="G22" s="7" t="str">
        <v>待确认</v>
      </c>
      <c r="H22" s="7" t="str">
        <v>未明确</v>
      </c>
      <c r="I22" s="7" t="str">
        <v>未明确</v>
      </c>
      <c r="J22" s="7" t="str">
        <v>未明确</v>
      </c>
      <c r="K22" s="7" t="str">
        <v>未明确</v>
      </c>
      <c r="L22" s="7" t="str">
        <v>仅清单级需求定位；无逐场出入状态证据</v>
      </c>
      <c r="M22" s="7" t="str">
        <v>用户精简清单 T2R003</v>
      </c>
      <c r="N22" s="7" t="str">
        <v>S02 大学校园；第9集起；校园冲突延至22集；大学门口、教学楼前、公共区、食堂；校园长椅、宣传栏、食堂桌椅、餐具、学生背景</v>
      </c>
      <c r="O22" s="7" t="str">
        <v>原文明示</v>
      </c>
      <c r="P22" s="7" t="str">
        <v>不适用</v>
      </c>
      <c r="Q22" s="7" t="str">
        <v>需原剧分场复核，清单不能证明完整性</v>
      </c>
      <c r="R22" s="7" t="str"/>
      <c r="S22" s="7" t="str"/>
      <c r="T22" s="7" t="str">
        <v>有效</v>
      </c>
      <c r="U22" s="7" t="str"/>
    </row>
    <row r="23" ht="55" customHeight="1">
      <c r="A23" s="7" t="str">
        <v>USE-0019</v>
      </c>
      <c r="B23" s="7" t="str">
        <v>未提供分场｜第34—41集</v>
      </c>
      <c r="C23" s="8" t="n">
        <v>19</v>
      </c>
      <c r="D23" s="9" t="str">
        <v>CHR-0019</v>
      </c>
      <c r="E23" s="9" t="str">
        <v>CHV-0017</v>
      </c>
      <c r="F23" s="7" t="str"/>
      <c r="G23" s="7" t="str">
        <v>待确认</v>
      </c>
      <c r="H23" s="7" t="str">
        <v>未明确</v>
      </c>
      <c r="I23" s="7" t="str">
        <v>未明确</v>
      </c>
      <c r="J23" s="7" t="str">
        <v>未明确</v>
      </c>
      <c r="K23" s="7" t="str">
        <v>未明确</v>
      </c>
      <c r="L23" s="7" t="str">
        <v>仅清单级需求定位；无逐场出入状态证据</v>
      </c>
      <c r="M23" s="7" t="str">
        <v>用户精简清单 T5R003</v>
      </c>
      <c r="N23" s="7" t="str">
        <v>私人会所；门外＋内部大厅；中心主位、两侧大佬及保镖的位置不能因反打而颠倒</v>
      </c>
      <c r="O23" s="7" t="str">
        <v>原文明示</v>
      </c>
      <c r="P23" s="7" t="str">
        <v>不适用</v>
      </c>
      <c r="Q23" s="7" t="str">
        <v>需原剧分场复核，清单不能证明完整性</v>
      </c>
      <c r="R23" s="7" t="str"/>
      <c r="S23" s="7" t="str"/>
      <c r="T23" s="7" t="str">
        <v>有效</v>
      </c>
      <c r="U23" s="7" t="str"/>
    </row>
    <row r="24" ht="55" customHeight="1">
      <c r="A24" s="7" t="str">
        <v>USE-0020</v>
      </c>
      <c r="B24" s="7" t="str">
        <v>未提供分场｜第34—41集</v>
      </c>
      <c r="C24" s="8" t="n">
        <v>20</v>
      </c>
      <c r="D24" s="9" t="str">
        <v>CHR-0020</v>
      </c>
      <c r="E24" s="9" t="str">
        <v>CHV-0018</v>
      </c>
      <c r="F24" s="7" t="str"/>
      <c r="G24" s="7" t="str">
        <v>待确认</v>
      </c>
      <c r="H24" s="7" t="str">
        <v>未明确</v>
      </c>
      <c r="I24" s="7" t="str">
        <v>未明确</v>
      </c>
      <c r="J24" s="7" t="str">
        <v>未明确</v>
      </c>
      <c r="K24" s="7" t="str">
        <v>未明确</v>
      </c>
      <c r="L24" s="7" t="str">
        <v>仅清单级需求定位；无逐场出入状态证据</v>
      </c>
      <c r="M24" s="7" t="str">
        <v>用户精简清单 T5R003</v>
      </c>
      <c r="N24" s="7" t="str">
        <v>私人会所；门外＋内部大厅；中心主位、两侧大佬及保镖的位置不能因反打而颠倒</v>
      </c>
      <c r="O24" s="7" t="str">
        <v>原文明示</v>
      </c>
      <c r="P24" s="7" t="str">
        <v>不适用</v>
      </c>
      <c r="Q24" s="7" t="str">
        <v>需原剧分场复核，清单不能证明完整性</v>
      </c>
      <c r="R24" s="7" t="str"/>
      <c r="S24" s="7" t="str"/>
      <c r="T24" s="7" t="str">
        <v>有效</v>
      </c>
      <c r="U24" s="7" t="str"/>
    </row>
    <row r="25" ht="55" customHeight="1">
      <c r="A25" s="7" t="str">
        <v>USE-0021</v>
      </c>
      <c r="B25" s="7" t="str">
        <v>未提供分场｜第4集闪回</v>
      </c>
      <c r="C25" s="8" t="n">
        <v>21</v>
      </c>
      <c r="D25" s="9" t="str">
        <v>CHR-0001</v>
      </c>
      <c r="E25" s="9" t="str">
        <v>CHV-0019</v>
      </c>
      <c r="F25" s="7" t="str"/>
      <c r="G25" s="7" t="str">
        <v>待确认</v>
      </c>
      <c r="H25" s="7" t="str">
        <v>未明确</v>
      </c>
      <c r="I25" s="7" t="str">
        <v>未明确</v>
      </c>
      <c r="J25" s="7" t="str">
        <v>未明确</v>
      </c>
      <c r="K25" s="7" t="str">
        <v>未明确</v>
      </c>
      <c r="L25" s="7" t="str">
        <v>少年闪回外观；确切年龄与成年关联造型待核；只有需求级信息，具体起末态待原剧复核</v>
      </c>
      <c r="M25" s="7" t="str">
        <v>用户精简清单 T3R004</v>
      </c>
      <c r="N25" s="7" t="str">
        <v>S10 少年江辰的家；第4集闪回；书房与密室必须通过墙上观察孔关联，不能分成无关场景</v>
      </c>
      <c r="O25" s="7" t="str">
        <v>原文明示</v>
      </c>
      <c r="P25" s="7" t="str">
        <v>不适用</v>
      </c>
      <c r="Q25" s="7" t="str">
        <v>需原剧分场复核，清单不能证明完整性</v>
      </c>
      <c r="R25" s="7" t="str"/>
      <c r="S25" s="7" t="str"/>
      <c r="T25" s="7" t="str">
        <v>有效</v>
      </c>
      <c r="U25" s="7" t="str"/>
    </row>
    <row r="26" ht="55" customHeight="1">
      <c r="A26" s="7" t="str">
        <v>USE-0022</v>
      </c>
      <c r="B26" s="7" t="str">
        <v>未提供分场｜第1集及后续未明确</v>
      </c>
      <c r="C26" s="8" t="n">
        <v>22</v>
      </c>
      <c r="D26" s="9" t="str">
        <v>CHR-0001</v>
      </c>
      <c r="E26" s="9" t="str">
        <v>CHV-0020</v>
      </c>
      <c r="F26" s="7" t="str"/>
      <c r="G26" s="7" t="str">
        <v>待确认</v>
      </c>
      <c r="H26" s="7" t="str">
        <v>未明确</v>
      </c>
      <c r="I26" s="7" t="str">
        <v>未明确</v>
      </c>
      <c r="J26" s="7" t="str">
        <v>未明确</v>
      </c>
      <c r="K26" s="7" t="str">
        <v>未明确</v>
      </c>
      <c r="L26" s="7" t="str">
        <v>孤狼银色半面具佩戴、摘下；脸型保持同一身份；只有需求级信息，具体起末态待原剧复核</v>
      </c>
      <c r="M26" s="7" t="str">
        <v>用户精简清单 T8R003</v>
      </c>
      <c r="N26" s="7" t="str">
        <v>P02 孤狼银色半面具；第1集；必须独立；佩戴、侧面、摘下面具，江辰脸型不变。</v>
      </c>
      <c r="O26" s="7" t="str">
        <v>原文明示</v>
      </c>
      <c r="P26" s="7" t="str">
        <v>不适用</v>
      </c>
      <c r="Q26" s="7" t="str">
        <v>需原剧分场复核，清单不能证明完整性</v>
      </c>
      <c r="R26" s="7" t="str"/>
      <c r="S26" s="7" t="str"/>
      <c r="T26" s="7" t="str">
        <v>有效</v>
      </c>
      <c r="U26" s="7" t="str"/>
    </row>
    <row r="27" ht="55" customHeight="1">
      <c r="A27" s="7" t="str">
        <v>USE-0023</v>
      </c>
      <c r="B27" s="7" t="str">
        <v>未提供分场｜第6集</v>
      </c>
      <c r="C27" s="8" t="n">
        <v>23</v>
      </c>
      <c r="D27" s="9" t="str">
        <v>CHR-0003</v>
      </c>
      <c r="E27" s="9" t="str">
        <v>CHV-0021</v>
      </c>
      <c r="F27" s="7" t="str"/>
      <c r="G27" s="7" t="str">
        <v>待确认</v>
      </c>
      <c r="H27" s="7" t="str">
        <v>未明确</v>
      </c>
      <c r="I27" s="7" t="str">
        <v>未明确</v>
      </c>
      <c r="J27" s="7" t="str">
        <v>未明确</v>
      </c>
      <c r="K27" s="7" t="str">
        <v>未明确</v>
      </c>
      <c r="L27" s="7" t="str">
        <v>受伤妆造；毛巾、冰袋互动，部位程度未知；只有需求级信息，具体起末态待原剧复核</v>
      </c>
      <c r="M27" s="7" t="str">
        <v>用户精简清单 T7R004</v>
      </c>
      <c r="N27" s="7" t="str">
        <v>毛巾、冰袋；第6集；随张阎王受伤妆造生成</v>
      </c>
      <c r="O27" s="7" t="str">
        <v>原文明示</v>
      </c>
      <c r="P27" s="7" t="str">
        <v>不适用</v>
      </c>
      <c r="Q27" s="7" t="str">
        <v>需原剧分场复核，清单不能证明完整性</v>
      </c>
      <c r="R27" s="7" t="str"/>
      <c r="S27" s="7" t="str"/>
      <c r="T27" s="7" t="str">
        <v>有效</v>
      </c>
      <c r="U27" s="7" t="str"/>
    </row>
    <row r="28" ht="85" customHeight="1">
      <c r="A28" s="7" t="str">
        <v>USE-0024</v>
      </c>
      <c r="B28" s="7" t="str">
        <v>未提供分场｜起止未明确</v>
      </c>
      <c r="C28" s="8" t="n">
        <v>24</v>
      </c>
      <c r="D28" s="9" t="str">
        <v>CHR-0002</v>
      </c>
      <c r="E28" s="9" t="str">
        <v>CHV-0022</v>
      </c>
      <c r="F28" s="7" t="str"/>
      <c r="G28" s="7" t="str">
        <v>待确认</v>
      </c>
      <c r="H28" s="7" t="str">
        <v>未明确</v>
      </c>
      <c r="I28" s="7" t="str">
        <v>未明确</v>
      </c>
      <c r="J28" s="7" t="str">
        <v>未明确</v>
      </c>
      <c r="K28" s="7" t="str">
        <v>未明确</v>
      </c>
      <c r="L28" s="7" t="str">
        <v>阴玉身体融合/能量表现；不表现为随手取出的玉佩；只有需求级信息，具体起末态待原剧复核</v>
      </c>
      <c r="M28" s="7" t="str">
        <v>用户精简清单 T8R002</v>
      </c>
      <c r="N28" s="7" t="str">
        <v>P01 西王母玉（阴/阳）；第1集提及；必须独立；阴玉与苏小菲身体融合；阳玉关联江辰。分实物历史状态和身体能量表现，不默认是可随手取出的玉佩。</v>
      </c>
      <c r="O28" s="7" t="str">
        <v>原文明示</v>
      </c>
      <c r="P28" s="7" t="str">
        <v>不适用</v>
      </c>
      <c r="Q28" s="7" t="str">
        <v>需原剧分场复核，清单不能证明完整性</v>
      </c>
      <c r="R28" s="7" t="str"/>
      <c r="S28" s="7" t="str"/>
      <c r="T28" s="7" t="str">
        <v>有效</v>
      </c>
      <c r="U28" s="7" t="str"/>
    </row>
    <row r="29" ht="100" customHeight="1">
      <c r="A29" s="7" t="str">
        <v>USE-0025</v>
      </c>
      <c r="B29" s="7" t="str">
        <v>未提供分场｜第3集起，高频贯穿后续</v>
      </c>
      <c r="C29" s="8" t="n">
        <v>25</v>
      </c>
      <c r="D29" s="9" t="str">
        <v>LOC-0001</v>
      </c>
      <c r="E29" s="9" t="str">
        <v>LCV-0001</v>
      </c>
      <c r="F29" s="7" t="str"/>
      <c r="G29" s="7" t="str">
        <v>待确认</v>
      </c>
      <c r="H29" s="7" t="str">
        <v>未明确</v>
      </c>
      <c r="I29" s="7" t="str">
        <v>未明确</v>
      </c>
      <c r="J29" s="7" t="str">
        <v>未明确</v>
      </c>
      <c r="K29" s="7" t="str">
        <v>未明确</v>
      </c>
      <c r="L29" s="7" t="str">
        <v>两卧室独立；阳台能看院子；具体归属未明；子空间及母场景分组不等于可共用同一张图</v>
      </c>
      <c r="M29" s="7" t="str">
        <v>用户精简清单 T2R002</v>
      </c>
      <c r="N29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29" s="7" t="str">
        <v>原文明示</v>
      </c>
      <c r="P29" s="7" t="str">
        <v>不适用</v>
      </c>
      <c r="Q29" s="7" t="str">
        <v>需原剧分场复核，清单不能证明完整性</v>
      </c>
      <c r="R29" s="7" t="str"/>
      <c r="S29" s="7" t="str"/>
      <c r="T29" s="7" t="str">
        <v>有效</v>
      </c>
      <c r="U29" s="7" t="str"/>
    </row>
    <row r="30" ht="100" customHeight="1">
      <c r="A30" s="7" t="str">
        <v>USE-0026</v>
      </c>
      <c r="B30" s="7" t="str">
        <v>未提供分场｜第3集起，高频贯穿后续</v>
      </c>
      <c r="C30" s="8" t="n">
        <v>26</v>
      </c>
      <c r="D30" s="9" t="str">
        <v>LOC-0002</v>
      </c>
      <c r="E30" s="9" t="str">
        <v>LCV-0002</v>
      </c>
      <c r="F30" s="7" t="str"/>
      <c r="G30" s="7" t="str">
        <v>待确认</v>
      </c>
      <c r="H30" s="7" t="str">
        <v>未明确</v>
      </c>
      <c r="I30" s="7" t="str">
        <v>未明确</v>
      </c>
      <c r="J30" s="7" t="str">
        <v>未明确</v>
      </c>
      <c r="K30" s="7" t="str">
        <v>未明确</v>
      </c>
      <c r="L30" s="7" t="str">
        <v>两卧室独立；阳台能看院子；具体归属未明；子空间及母场景分组不等于可共用同一张图</v>
      </c>
      <c r="M30" s="7" t="str">
        <v>用户精简清单 T2R002</v>
      </c>
      <c r="N30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0" s="7" t="str">
        <v>原文明示</v>
      </c>
      <c r="P30" s="7" t="str">
        <v>不适用</v>
      </c>
      <c r="Q30" s="7" t="str">
        <v>需原剧分场复核，清单不能证明完整性</v>
      </c>
      <c r="R30" s="7" t="str"/>
      <c r="S30" s="7" t="str"/>
      <c r="T30" s="7" t="str">
        <v>有效</v>
      </c>
      <c r="U30" s="7" t="str"/>
    </row>
    <row r="31" ht="100" customHeight="1">
      <c r="A31" s="7" t="str">
        <v>USE-0027</v>
      </c>
      <c r="B31" s="7" t="str">
        <v>未提供分场｜第3集起，高频贯穿后续</v>
      </c>
      <c r="C31" s="8" t="n">
        <v>27</v>
      </c>
      <c r="D31" s="9" t="str">
        <v>LOC-0003</v>
      </c>
      <c r="E31" s="9" t="str">
        <v>LCV-0003</v>
      </c>
      <c r="F31" s="7" t="str"/>
      <c r="G31" s="7" t="str">
        <v>待确认</v>
      </c>
      <c r="H31" s="7" t="str">
        <v>未明确</v>
      </c>
      <c r="I31" s="7" t="str">
        <v>未明确</v>
      </c>
      <c r="J31" s="7" t="str">
        <v>未明确</v>
      </c>
      <c r="K31" s="7" t="str">
        <v>未明确</v>
      </c>
      <c r="L31" s="7" t="str">
        <v>两卧室独立；阳台能看院子；具体归属未明；子空间及母场景分组不等于可共用同一张图</v>
      </c>
      <c r="M31" s="7" t="str">
        <v>用户精简清单 T2R002</v>
      </c>
      <c r="N31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1" s="7" t="str">
        <v>原文明示</v>
      </c>
      <c r="P31" s="7" t="str">
        <v>不适用</v>
      </c>
      <c r="Q31" s="7" t="str">
        <v>需原剧分场复核，清单不能证明完整性</v>
      </c>
      <c r="R31" s="7" t="str"/>
      <c r="S31" s="7" t="str"/>
      <c r="T31" s="7" t="str">
        <v>有效</v>
      </c>
      <c r="U31" s="7" t="str"/>
    </row>
    <row r="32" ht="100" customHeight="1">
      <c r="A32" s="7" t="str">
        <v>USE-0028</v>
      </c>
      <c r="B32" s="7" t="str">
        <v>未提供分场｜第3集起，高频贯穿后续</v>
      </c>
      <c r="C32" s="8" t="n">
        <v>28</v>
      </c>
      <c r="D32" s="9" t="str">
        <v>LOC-0004</v>
      </c>
      <c r="E32" s="9" t="str">
        <v>LCV-0004</v>
      </c>
      <c r="F32" s="7" t="str"/>
      <c r="G32" s="7" t="str">
        <v>待确认</v>
      </c>
      <c r="H32" s="7" t="str">
        <v>未明确</v>
      </c>
      <c r="I32" s="7" t="str">
        <v>未明确</v>
      </c>
      <c r="J32" s="7" t="str">
        <v>未明确</v>
      </c>
      <c r="K32" s="7" t="str">
        <v>未明确</v>
      </c>
      <c r="L32" s="7" t="str">
        <v>两卧室独立；阳台能看院子；具体归属未明；子空间及母场景分组不等于可共用同一张图</v>
      </c>
      <c r="M32" s="7" t="str">
        <v>用户精简清单 T2R002</v>
      </c>
      <c r="N32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2" s="7" t="str">
        <v>原文明示</v>
      </c>
      <c r="P32" s="7" t="str">
        <v>不适用</v>
      </c>
      <c r="Q32" s="7" t="str">
        <v>需原剧分场复核，清单不能证明完整性</v>
      </c>
      <c r="R32" s="7" t="str"/>
      <c r="S32" s="7" t="str"/>
      <c r="T32" s="7" t="str">
        <v>有效</v>
      </c>
      <c r="U32" s="7" t="str"/>
    </row>
    <row r="33" ht="100" customHeight="1">
      <c r="A33" s="7" t="str">
        <v>USE-0029</v>
      </c>
      <c r="B33" s="7" t="str">
        <v>未提供分场｜第3集起，高频贯穿后续</v>
      </c>
      <c r="C33" s="8" t="n">
        <v>29</v>
      </c>
      <c r="D33" s="9" t="str">
        <v>LOC-0005</v>
      </c>
      <c r="E33" s="9" t="str">
        <v>LCV-0005</v>
      </c>
      <c r="F33" s="7" t="str"/>
      <c r="G33" s="7" t="str">
        <v>待确认</v>
      </c>
      <c r="H33" s="7" t="str">
        <v>未明确</v>
      </c>
      <c r="I33" s="7" t="str">
        <v>未明确</v>
      </c>
      <c r="J33" s="7" t="str">
        <v>未明确</v>
      </c>
      <c r="K33" s="7" t="str">
        <v>未明确</v>
      </c>
      <c r="L33" s="7" t="str">
        <v>两卧室独立；阳台能看院子；具体归属未明；子空间及母场景分组不等于可共用同一张图</v>
      </c>
      <c r="M33" s="7" t="str">
        <v>用户精简清单 T2R002</v>
      </c>
      <c r="N33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3" s="7" t="str">
        <v>原文明示</v>
      </c>
      <c r="P33" s="7" t="str">
        <v>不适用</v>
      </c>
      <c r="Q33" s="7" t="str">
        <v>需原剧分场复核，清单不能证明完整性</v>
      </c>
      <c r="R33" s="7" t="str"/>
      <c r="S33" s="7" t="str"/>
      <c r="T33" s="7" t="str">
        <v>有效</v>
      </c>
      <c r="U33" s="7" t="str"/>
    </row>
    <row r="34" ht="100" customHeight="1">
      <c r="A34" s="7" t="str">
        <v>USE-0030</v>
      </c>
      <c r="B34" s="7" t="str">
        <v>未提供分场｜第3集起，高频贯穿后续</v>
      </c>
      <c r="C34" s="8" t="n">
        <v>30</v>
      </c>
      <c r="D34" s="9" t="str">
        <v>LOC-0006</v>
      </c>
      <c r="E34" s="9" t="str">
        <v>LCV-0006</v>
      </c>
      <c r="F34" s="7" t="str"/>
      <c r="G34" s="7" t="str">
        <v>待确认</v>
      </c>
      <c r="H34" s="7" t="str">
        <v>未明确</v>
      </c>
      <c r="I34" s="7" t="str">
        <v>未明确</v>
      </c>
      <c r="J34" s="7" t="str">
        <v>未明确</v>
      </c>
      <c r="K34" s="7" t="str">
        <v>未明确</v>
      </c>
      <c r="L34" s="7" t="str">
        <v>两卧室独立；阳台能看院子；具体归属未明；子空间及母场景分组不等于可共用同一张图</v>
      </c>
      <c r="M34" s="7" t="str">
        <v>用户精简清单 T2R002</v>
      </c>
      <c r="N34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4" s="7" t="str">
        <v>原文明示</v>
      </c>
      <c r="P34" s="7" t="str">
        <v>不适用</v>
      </c>
      <c r="Q34" s="7" t="str">
        <v>需原剧分场复核，清单不能证明完整性</v>
      </c>
      <c r="R34" s="7" t="str"/>
      <c r="S34" s="7" t="str"/>
      <c r="T34" s="7" t="str">
        <v>有效</v>
      </c>
      <c r="U34" s="7" t="str"/>
    </row>
    <row r="35" ht="100" customHeight="1">
      <c r="A35" s="7" t="str">
        <v>USE-0031</v>
      </c>
      <c r="B35" s="7" t="str">
        <v>未提供分场｜第3集起，高频贯穿后续</v>
      </c>
      <c r="C35" s="8" t="n">
        <v>31</v>
      </c>
      <c r="D35" s="9" t="str">
        <v>LOC-0007</v>
      </c>
      <c r="E35" s="9" t="str">
        <v>LCV-0007</v>
      </c>
      <c r="F35" s="7" t="str"/>
      <c r="G35" s="7" t="str">
        <v>待确认</v>
      </c>
      <c r="H35" s="7" t="str">
        <v>未明确</v>
      </c>
      <c r="I35" s="7" t="str">
        <v>未明确</v>
      </c>
      <c r="J35" s="7" t="str">
        <v>未明确</v>
      </c>
      <c r="K35" s="7" t="str">
        <v>未明确</v>
      </c>
      <c r="L35" s="7" t="str">
        <v>两卧室独立；阳台能看院子；具体归属未明；子空间及母场景分组不等于可共用同一张图</v>
      </c>
      <c r="M35" s="7" t="str">
        <v>用户精简清单 T2R002</v>
      </c>
      <c r="N35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5" s="7" t="str">
        <v>原文明示</v>
      </c>
      <c r="P35" s="7" t="str">
        <v>不适用</v>
      </c>
      <c r="Q35" s="7" t="str">
        <v>需原剧分场复核，清单不能证明完整性</v>
      </c>
      <c r="R35" s="7" t="str"/>
      <c r="S35" s="7" t="str"/>
      <c r="T35" s="7" t="str">
        <v>有效</v>
      </c>
      <c r="U35" s="7" t="str"/>
    </row>
    <row r="36" ht="100" customHeight="1">
      <c r="A36" s="7" t="str">
        <v>USE-0032</v>
      </c>
      <c r="B36" s="7" t="str">
        <v>未提供分场｜第3集起，高频贯穿后续</v>
      </c>
      <c r="C36" s="8" t="n">
        <v>32</v>
      </c>
      <c r="D36" s="9" t="str">
        <v>LOC-0008</v>
      </c>
      <c r="E36" s="9" t="str">
        <v>LCV-0008</v>
      </c>
      <c r="F36" s="7" t="str"/>
      <c r="G36" s="7" t="str">
        <v>待确认</v>
      </c>
      <c r="H36" s="7" t="str">
        <v>未明确</v>
      </c>
      <c r="I36" s="7" t="str">
        <v>未明确</v>
      </c>
      <c r="J36" s="7" t="str">
        <v>未明确</v>
      </c>
      <c r="K36" s="7" t="str">
        <v>未明确</v>
      </c>
      <c r="L36" s="7" t="str">
        <v>两卧室独立；阳台能看院子；具体归属未明；子空间及母场景分组不等于可共用同一张图</v>
      </c>
      <c r="M36" s="7" t="str">
        <v>用户精简清单 T2R002</v>
      </c>
      <c r="N36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6" s="7" t="str">
        <v>原文明示</v>
      </c>
      <c r="P36" s="7" t="str">
        <v>不适用</v>
      </c>
      <c r="Q36" s="7" t="str">
        <v>需原剧分场复核，清单不能证明完整性</v>
      </c>
      <c r="R36" s="7" t="str"/>
      <c r="S36" s="7" t="str"/>
      <c r="T36" s="7" t="str">
        <v>有效</v>
      </c>
      <c r="U36" s="7" t="str"/>
    </row>
    <row r="37" ht="100" customHeight="1">
      <c r="A37" s="7" t="str">
        <v>USE-0033</v>
      </c>
      <c r="B37" s="7" t="str">
        <v>未提供分场｜第3集起，高频贯穿后续</v>
      </c>
      <c r="C37" s="8" t="n">
        <v>33</v>
      </c>
      <c r="D37" s="9" t="str">
        <v>LOC-0009</v>
      </c>
      <c r="E37" s="9" t="str">
        <v>LCV-0009</v>
      </c>
      <c r="F37" s="7" t="str"/>
      <c r="G37" s="7" t="str">
        <v>待确认</v>
      </c>
      <c r="H37" s="7" t="str">
        <v>未明确</v>
      </c>
      <c r="I37" s="7" t="str">
        <v>未明确</v>
      </c>
      <c r="J37" s="7" t="str">
        <v>未明确</v>
      </c>
      <c r="K37" s="7" t="str">
        <v>未明确</v>
      </c>
      <c r="L37" s="7" t="str">
        <v>两卧室独立；阳台能看院子；具体归属未明；子空间及母场景分组不等于可共用同一张图</v>
      </c>
      <c r="M37" s="7" t="str">
        <v>用户精简清单 T2R002</v>
      </c>
      <c r="N37" s="7" t="str">
        <v>S01 苏家别墅；第3集起，高频贯穿后续；客厅/大厅、餐厅、书房、两间卧室、走廊楼梯、阳台、院子、大门；家具、沙发茶几、床品、绿植、餐具、室内灯具；后期订婚布置复用院子</v>
      </c>
      <c r="O37" s="7" t="str">
        <v>原文明示</v>
      </c>
      <c r="P37" s="7" t="str">
        <v>不适用</v>
      </c>
      <c r="Q37" s="7" t="str">
        <v>需原剧分场复核，清单不能证明完整性</v>
      </c>
      <c r="R37" s="7" t="str"/>
      <c r="S37" s="7" t="str"/>
      <c r="T37" s="7" t="str">
        <v>有效</v>
      </c>
      <c r="U37" s="7" t="str"/>
    </row>
    <row r="38" ht="70" customHeight="1">
      <c r="A38" s="7" t="str">
        <v>USE-0034</v>
      </c>
      <c r="B38" s="7" t="str">
        <v>未提供分场｜第9集起；校园冲突延至22集</v>
      </c>
      <c r="C38" s="8" t="n">
        <v>34</v>
      </c>
      <c r="D38" s="9" t="str">
        <v>LOC-0010</v>
      </c>
      <c r="E38" s="9" t="str">
        <v>LCV-0010</v>
      </c>
      <c r="F38" s="7" t="str"/>
      <c r="G38" s="7" t="str">
        <v>待确认</v>
      </c>
      <c r="H38" s="7" t="str">
        <v>未明确</v>
      </c>
      <c r="I38" s="7" t="str">
        <v>未明确</v>
      </c>
      <c r="J38" s="7" t="str">
        <v>未明确</v>
      </c>
      <c r="K38" s="7" t="str">
        <v>未明确</v>
      </c>
      <c r="L38" s="7" t="str">
        <v>区位关系待核；子空间及母场景分组不等于可共用同一张图</v>
      </c>
      <c r="M38" s="7" t="str">
        <v>用户精简清单 T2R003</v>
      </c>
      <c r="N38" s="7" t="str">
        <v>S02 大学校园；第9集起；校园冲突延至22集；大学门口、教学楼前、公共区、食堂；校园长椅、宣传栏、食堂桌椅、餐具、学生背景</v>
      </c>
      <c r="O38" s="7" t="str">
        <v>原文明示</v>
      </c>
      <c r="P38" s="7" t="str">
        <v>不适用</v>
      </c>
      <c r="Q38" s="7" t="str">
        <v>需原剧分场复核，清单不能证明完整性</v>
      </c>
      <c r="R38" s="7" t="str"/>
      <c r="S38" s="7" t="str"/>
      <c r="T38" s="7" t="str">
        <v>有效</v>
      </c>
      <c r="U38" s="7" t="str"/>
    </row>
    <row r="39" ht="70" customHeight="1">
      <c r="A39" s="7" t="str">
        <v>USE-0035</v>
      </c>
      <c r="B39" s="7" t="str">
        <v>未提供分场｜第9集起；校园冲突延至22集</v>
      </c>
      <c r="C39" s="8" t="n">
        <v>35</v>
      </c>
      <c r="D39" s="9" t="str">
        <v>LOC-0011</v>
      </c>
      <c r="E39" s="9" t="str">
        <v>LCV-0011</v>
      </c>
      <c r="F39" s="7" t="str"/>
      <c r="G39" s="7" t="str">
        <v>待确认</v>
      </c>
      <c r="H39" s="7" t="str">
        <v>未明确</v>
      </c>
      <c r="I39" s="7" t="str">
        <v>未明确</v>
      </c>
      <c r="J39" s="7" t="str">
        <v>未明确</v>
      </c>
      <c r="K39" s="7" t="str">
        <v>未明确</v>
      </c>
      <c r="L39" s="7" t="str">
        <v>区位关系待核；子空间及母场景分组不等于可共用同一张图</v>
      </c>
      <c r="M39" s="7" t="str">
        <v>用户精简清单 T2R003</v>
      </c>
      <c r="N39" s="7" t="str">
        <v>S02 大学校园；第9集起；校园冲突延至22集；大学门口、教学楼前、公共区、食堂；校园长椅、宣传栏、食堂桌椅、餐具、学生背景</v>
      </c>
      <c r="O39" s="7" t="str">
        <v>原文明示</v>
      </c>
      <c r="P39" s="7" t="str">
        <v>不适用</v>
      </c>
      <c r="Q39" s="7" t="str">
        <v>需原剧分场复核，清单不能证明完整性</v>
      </c>
      <c r="R39" s="7" t="str"/>
      <c r="S39" s="7" t="str"/>
      <c r="T39" s="7" t="str">
        <v>有效</v>
      </c>
      <c r="U39" s="7" t="str"/>
    </row>
    <row r="40" ht="70" customHeight="1">
      <c r="A40" s="7" t="str">
        <v>USE-0036</v>
      </c>
      <c r="B40" s="7" t="str">
        <v>未提供分场｜第9集起；校园冲突延至22集</v>
      </c>
      <c r="C40" s="8" t="n">
        <v>36</v>
      </c>
      <c r="D40" s="9" t="str">
        <v>LOC-0012</v>
      </c>
      <c r="E40" s="9" t="str">
        <v>LCV-0012</v>
      </c>
      <c r="F40" s="7" t="str"/>
      <c r="G40" s="7" t="str">
        <v>待确认</v>
      </c>
      <c r="H40" s="7" t="str">
        <v>未明确</v>
      </c>
      <c r="I40" s="7" t="str">
        <v>未明确</v>
      </c>
      <c r="J40" s="7" t="str">
        <v>未明确</v>
      </c>
      <c r="K40" s="7" t="str">
        <v>未明确</v>
      </c>
      <c r="L40" s="7" t="str">
        <v>区位关系待核；子空间及母场景分组不等于可共用同一张图</v>
      </c>
      <c r="M40" s="7" t="str">
        <v>用户精简清单 T2R003</v>
      </c>
      <c r="N40" s="7" t="str">
        <v>S02 大学校园；第9集起；校园冲突延至22集；大学门口、教学楼前、公共区、食堂；校园长椅、宣传栏、食堂桌椅、餐具、学生背景</v>
      </c>
      <c r="O40" s="7" t="str">
        <v>原文明示</v>
      </c>
      <c r="P40" s="7" t="str">
        <v>不适用</v>
      </c>
      <c r="Q40" s="7" t="str">
        <v>需原剧分场复核，清单不能证明完整性</v>
      </c>
      <c r="R40" s="7" t="str"/>
      <c r="S40" s="7" t="str"/>
      <c r="T40" s="7" t="str">
        <v>有效</v>
      </c>
      <c r="U40" s="7" t="str"/>
    </row>
    <row r="41" ht="70" customHeight="1">
      <c r="A41" s="7" t="str">
        <v>USE-0037</v>
      </c>
      <c r="B41" s="7" t="str">
        <v>未提供分场｜第9集起；校园冲突延至22集</v>
      </c>
      <c r="C41" s="8" t="n">
        <v>37</v>
      </c>
      <c r="D41" s="9" t="str">
        <v>LOC-0013</v>
      </c>
      <c r="E41" s="9" t="str">
        <v>LCV-0013</v>
      </c>
      <c r="F41" s="7" t="str"/>
      <c r="G41" s="7" t="str">
        <v>待确认</v>
      </c>
      <c r="H41" s="7" t="str">
        <v>未明确</v>
      </c>
      <c r="I41" s="7" t="str">
        <v>未明确</v>
      </c>
      <c r="J41" s="7" t="str">
        <v>未明确</v>
      </c>
      <c r="K41" s="7" t="str">
        <v>未明确</v>
      </c>
      <c r="L41" s="7" t="str">
        <v>区位关系待核；子空间及母场景分组不等于可共用同一张图</v>
      </c>
      <c r="M41" s="7" t="str">
        <v>用户精简清单 T2R003</v>
      </c>
      <c r="N41" s="7" t="str">
        <v>S02 大学校园；第9集起；校园冲突延至22集；大学门口、教学楼前、公共区、食堂；校园长椅、宣传栏、食堂桌椅、餐具、学生背景</v>
      </c>
      <c r="O41" s="7" t="str">
        <v>原文明示</v>
      </c>
      <c r="P41" s="7" t="str">
        <v>不适用</v>
      </c>
      <c r="Q41" s="7" t="str">
        <v>需原剧分场复核，清单不能证明完整性</v>
      </c>
      <c r="R41" s="7" t="str"/>
      <c r="S41" s="7" t="str"/>
      <c r="T41" s="7" t="str">
        <v>有效</v>
      </c>
      <c r="U41" s="7" t="str"/>
    </row>
    <row r="42" ht="70" customHeight="1">
      <c r="A42" s="7" t="str">
        <v>USE-0038</v>
      </c>
      <c r="B42" s="7" t="str">
        <v>未提供分场｜第1集</v>
      </c>
      <c r="C42" s="8" t="n">
        <v>38</v>
      </c>
      <c r="D42" s="9" t="str">
        <v>LOC-0014</v>
      </c>
      <c r="E42" s="9" t="str">
        <v>LCV-0014</v>
      </c>
      <c r="F42" s="7" t="str"/>
      <c r="G42" s="7" t="str">
        <v>待确认</v>
      </c>
      <c r="H42" s="7" t="str">
        <v>未明确</v>
      </c>
      <c r="I42" s="7" t="str">
        <v>未明确</v>
      </c>
      <c r="J42" s="7" t="str">
        <v>未明确</v>
      </c>
      <c r="K42" s="7" t="str">
        <v>未明确</v>
      </c>
      <c r="L42" s="7" t="str">
        <v>与地面基地有俯瞰/落地关系，见T5R005；子空间及母场景分组不等于可共用同一张图</v>
      </c>
      <c r="M42" s="7" t="str">
        <v>用户精简清单 T2R004</v>
      </c>
      <c r="N42" s="7" t="str">
        <v>S03 国外绑匪基地；第1集；楼顶、地面活动区、绑架位置、撤离区域；烧烤架、桌椅、柱子、酒瓶、地面杂物</v>
      </c>
      <c r="O42" s="7" t="str">
        <v>原文明示</v>
      </c>
      <c r="P42" s="7" t="str">
        <v>不适用</v>
      </c>
      <c r="Q42" s="7" t="str">
        <v>需原剧分场复核，清单不能证明完整性</v>
      </c>
      <c r="R42" s="7" t="str"/>
      <c r="S42" s="7" t="str"/>
      <c r="T42" s="7" t="str">
        <v>有效</v>
      </c>
      <c r="U42" s="7" t="str"/>
    </row>
    <row r="43" ht="70" customHeight="1">
      <c r="A43" s="7" t="str">
        <v>USE-0039</v>
      </c>
      <c r="B43" s="7" t="str">
        <v>未提供分场｜第1集</v>
      </c>
      <c r="C43" s="8" t="n">
        <v>39</v>
      </c>
      <c r="D43" s="9" t="str">
        <v>LOC-0015</v>
      </c>
      <c r="E43" s="9" t="str">
        <v>LCV-0015</v>
      </c>
      <c r="F43" s="7" t="str"/>
      <c r="G43" s="7" t="str">
        <v>待确认</v>
      </c>
      <c r="H43" s="7" t="str">
        <v>未明确</v>
      </c>
      <c r="I43" s="7" t="str">
        <v>未明确</v>
      </c>
      <c r="J43" s="7" t="str">
        <v>未明确</v>
      </c>
      <c r="K43" s="7" t="str">
        <v>未明确</v>
      </c>
      <c r="L43" s="7" t="str">
        <v>含绑架位置和撤离区域；是否另室未明；子空间及母场景分组不等于可共用同一张图</v>
      </c>
      <c r="M43" s="7" t="str">
        <v>用户精简清单 T2R004</v>
      </c>
      <c r="N43" s="7" t="str">
        <v>S03 国外绑匪基地；第1集；楼顶、地面活动区、绑架位置、撤离区域；烧烤架、桌椅、柱子、酒瓶、地面杂物</v>
      </c>
      <c r="O43" s="7" t="str">
        <v>原文明示</v>
      </c>
      <c r="P43" s="7" t="str">
        <v>不适用</v>
      </c>
      <c r="Q43" s="7" t="str">
        <v>需原剧分场复核，清单不能证明完整性</v>
      </c>
      <c r="R43" s="7" t="str"/>
      <c r="S43" s="7" t="str"/>
      <c r="T43" s="7" t="str">
        <v>有效</v>
      </c>
      <c r="U43" s="7" t="str"/>
    </row>
    <row r="44" ht="70" customHeight="1">
      <c r="A44" s="7" t="str">
        <v>USE-0040</v>
      </c>
      <c r="B44" s="7" t="str">
        <v>未提供分场｜第10—15集</v>
      </c>
      <c r="C44" s="8" t="n">
        <v>40</v>
      </c>
      <c r="D44" s="9" t="str">
        <v>LOC-0016</v>
      </c>
      <c r="E44" s="9" t="str">
        <v>LCV-0016</v>
      </c>
      <c r="F44" s="7" t="str"/>
      <c r="G44" s="7" t="str">
        <v>待确认</v>
      </c>
      <c r="H44" s="7" t="str">
        <v>未明确</v>
      </c>
      <c r="I44" s="7" t="str">
        <v>未明确</v>
      </c>
      <c r="J44" s="7" t="str">
        <v>未明确</v>
      </c>
      <c r="K44" s="7" t="str">
        <v>未明确</v>
      </c>
      <c r="L44" s="7" t="str">
        <v>与废弃工厂不同地点，不能共用同一建筑；子空间及母场景分组不等于可共用同一张图</v>
      </c>
      <c r="M44" s="7" t="str">
        <v>用户精简清单 T2R005</v>
      </c>
      <c r="N44" s="7" t="str">
        <v>S04 烂尾楼；第10集起至15集；外部、主要交战区域、顶楼审问区域；水泥柱、钢筋、建筑废料、破损墙面</v>
      </c>
      <c r="O44" s="7" t="str">
        <v>原文明示</v>
      </c>
      <c r="P44" s="7" t="str">
        <v>不适用</v>
      </c>
      <c r="Q44" s="7" t="str">
        <v>需原剧分场复核，清单不能证明完整性</v>
      </c>
      <c r="R44" s="7" t="str"/>
      <c r="S44" s="7" t="str"/>
      <c r="T44" s="7" t="str">
        <v>有效</v>
      </c>
      <c r="U44" s="7" t="str"/>
    </row>
    <row r="45" ht="70" customHeight="1">
      <c r="A45" s="7" t="str">
        <v>USE-0041</v>
      </c>
      <c r="B45" s="7" t="str">
        <v>未提供分场｜第10—15集</v>
      </c>
      <c r="C45" s="8" t="n">
        <v>41</v>
      </c>
      <c r="D45" s="9" t="str">
        <v>LOC-0017</v>
      </c>
      <c r="E45" s="9" t="str">
        <v>LCV-0017</v>
      </c>
      <c r="F45" s="7" t="str"/>
      <c r="G45" s="7" t="str">
        <v>待确认</v>
      </c>
      <c r="H45" s="7" t="str">
        <v>未明确</v>
      </c>
      <c r="I45" s="7" t="str">
        <v>未明确</v>
      </c>
      <c r="J45" s="7" t="str">
        <v>未明确</v>
      </c>
      <c r="K45" s="7" t="str">
        <v>未明确</v>
      </c>
      <c r="L45" s="7" t="str">
        <v>与废弃工厂不同地点，不能共用同一建筑；子空间及母场景分组不等于可共用同一张图</v>
      </c>
      <c r="M45" s="7" t="str">
        <v>用户精简清单 T2R005</v>
      </c>
      <c r="N45" s="7" t="str">
        <v>S04 烂尾楼；第10集起至15集；外部、主要交战区域、顶楼审问区域；水泥柱、钢筋、建筑废料、破损墙面</v>
      </c>
      <c r="O45" s="7" t="str">
        <v>原文明示</v>
      </c>
      <c r="P45" s="7" t="str">
        <v>不适用</v>
      </c>
      <c r="Q45" s="7" t="str">
        <v>需原剧分场复核，清单不能证明完整性</v>
      </c>
      <c r="R45" s="7" t="str"/>
      <c r="S45" s="7" t="str"/>
      <c r="T45" s="7" t="str">
        <v>有效</v>
      </c>
      <c r="U45" s="7" t="str"/>
    </row>
    <row r="46" ht="70" customHeight="1">
      <c r="A46" s="7" t="str">
        <v>USE-0042</v>
      </c>
      <c r="B46" s="7" t="str">
        <v>未提供分场｜第10—15集</v>
      </c>
      <c r="C46" s="8" t="n">
        <v>42</v>
      </c>
      <c r="D46" s="9" t="str">
        <v>LOC-0018</v>
      </c>
      <c r="E46" s="9" t="str">
        <v>LCV-0018</v>
      </c>
      <c r="F46" s="7" t="str"/>
      <c r="G46" s="7" t="str">
        <v>待确认</v>
      </c>
      <c r="H46" s="7" t="str">
        <v>未明确</v>
      </c>
      <c r="I46" s="7" t="str">
        <v>未明确</v>
      </c>
      <c r="J46" s="7" t="str">
        <v>未明确</v>
      </c>
      <c r="K46" s="7" t="str">
        <v>未明确</v>
      </c>
      <c r="L46" s="7" t="str">
        <v>与废弃工厂不同地点，不能共用同一建筑；子空间及母场景分组不等于可共用同一张图</v>
      </c>
      <c r="M46" s="7" t="str">
        <v>用户精简清单 T2R005</v>
      </c>
      <c r="N46" s="7" t="str">
        <v>S04 烂尾楼；第10集起至15集；外部、主要交战区域、顶楼审问区域；水泥柱、钢筋、建筑废料、破损墙面</v>
      </c>
      <c r="O46" s="7" t="str">
        <v>原文明示</v>
      </c>
      <c r="P46" s="7" t="str">
        <v>不适用</v>
      </c>
      <c r="Q46" s="7" t="str">
        <v>需原剧分场复核，清单不能证明完整性</v>
      </c>
      <c r="R46" s="7" t="str"/>
      <c r="S46" s="7" t="str"/>
      <c r="T46" s="7" t="str">
        <v>有效</v>
      </c>
      <c r="U46" s="7" t="str"/>
    </row>
    <row r="47" ht="70" customHeight="1">
      <c r="A47" s="7" t="str">
        <v>USE-0043</v>
      </c>
      <c r="B47" s="7" t="str">
        <v>未提供分场｜第23—27集；关联段落到28集</v>
      </c>
      <c r="C47" s="8" t="n">
        <v>43</v>
      </c>
      <c r="D47" s="9" t="str">
        <v>LOC-0019</v>
      </c>
      <c r="E47" s="9" t="str">
        <v>LCV-0019</v>
      </c>
      <c r="F47" s="7" t="str"/>
      <c r="G47" s="7" t="str">
        <v>待确认</v>
      </c>
      <c r="H47" s="7" t="str">
        <v>未明确</v>
      </c>
      <c r="I47" s="7" t="str">
        <v>未明确</v>
      </c>
      <c r="J47" s="7" t="str">
        <v>未明确</v>
      </c>
      <c r="K47" s="7" t="str">
        <v>未明确</v>
      </c>
      <c r="L47" s="7" t="str">
        <v>大厅含废料堆与主打斗空地，边界待核；子空间及母场景分组不等于可共用同一张图</v>
      </c>
      <c r="M47" s="7" t="str">
        <v>用户精简清单 T2R006</v>
      </c>
      <c r="N47" s="7" t="str">
        <v>S05 废弃工厂；第23集起至27集；大门、厂房大厅、废料堆、主打斗空地；旧机器、工业架、废料、散落物料</v>
      </c>
      <c r="O47" s="7" t="str">
        <v>原文明示</v>
      </c>
      <c r="P47" s="7" t="str">
        <v>不适用</v>
      </c>
      <c r="Q47" s="7" t="str">
        <v>需原剧分场复核，清单不能证明完整性</v>
      </c>
      <c r="R47" s="7" t="str"/>
      <c r="S47" s="7" t="str"/>
      <c r="T47" s="7" t="str">
        <v>有效</v>
      </c>
      <c r="U47" s="7" t="str"/>
    </row>
    <row r="48" ht="70" customHeight="1">
      <c r="A48" s="7" t="str">
        <v>USE-0044</v>
      </c>
      <c r="B48" s="7" t="str">
        <v>未提供分场｜第23—27集；关联段落到28集</v>
      </c>
      <c r="C48" s="8" t="n">
        <v>44</v>
      </c>
      <c r="D48" s="9" t="str">
        <v>LOC-0020</v>
      </c>
      <c r="E48" s="9" t="str">
        <v>LCV-0020</v>
      </c>
      <c r="F48" s="7" t="str"/>
      <c r="G48" s="7" t="str">
        <v>待确认</v>
      </c>
      <c r="H48" s="7" t="str">
        <v>未明确</v>
      </c>
      <c r="I48" s="7" t="str">
        <v>未明确</v>
      </c>
      <c r="J48" s="7" t="str">
        <v>未明确</v>
      </c>
      <c r="K48" s="7" t="str">
        <v>未明确</v>
      </c>
      <c r="L48" s="7" t="str">
        <v>大厅含废料堆与主打斗空地，边界待核；子空间及母场景分组不等于可共用同一张图</v>
      </c>
      <c r="M48" s="7" t="str">
        <v>用户精简清单 T2R006</v>
      </c>
      <c r="N48" s="7" t="str">
        <v>S05 废弃工厂；第23集起至27集；大门、厂房大厅、废料堆、主打斗空地；旧机器、工业架、废料、散落物料</v>
      </c>
      <c r="O48" s="7" t="str">
        <v>原文明示</v>
      </c>
      <c r="P48" s="7" t="str">
        <v>不适用</v>
      </c>
      <c r="Q48" s="7" t="str">
        <v>需原剧分场复核，清单不能证明完整性</v>
      </c>
      <c r="R48" s="7" t="str"/>
      <c r="S48" s="7" t="str"/>
      <c r="T48" s="7" t="str">
        <v>有效</v>
      </c>
      <c r="U48" s="7" t="str"/>
    </row>
    <row r="49" ht="70" customHeight="1">
      <c r="A49" s="7" t="str">
        <v>USE-0045</v>
      </c>
      <c r="B49" s="7" t="str">
        <v>未提供分场｜第34—41集</v>
      </c>
      <c r="C49" s="8" t="n">
        <v>45</v>
      </c>
      <c r="D49" s="9" t="str">
        <v>LOC-0021</v>
      </c>
      <c r="E49" s="9" t="str">
        <v>LCV-0021</v>
      </c>
      <c r="F49" s="7" t="str"/>
      <c r="G49" s="7" t="str">
        <v>待确认</v>
      </c>
      <c r="H49" s="7" t="str">
        <v>未明确</v>
      </c>
      <c r="I49" s="7" t="str">
        <v>未明确</v>
      </c>
      <c r="J49" s="7" t="str">
        <v>未明确</v>
      </c>
      <c r="K49" s="7" t="str">
        <v>未明确</v>
      </c>
      <c r="L49" s="7" t="str">
        <v>中心首位、两侧座席、出入口需保持真实关系；子空间及母场景分组不等于可共用同一张图</v>
      </c>
      <c r="M49" s="7" t="str">
        <v>用户精简清单 T2R007</v>
      </c>
      <c r="N49" s="7" t="str">
        <v>S06 私人会所；第34集起至41集；门外、内部大厅、中央首位、两侧座席、出入口；会所桌椅、茶桌、主位座椅、装饰和照明</v>
      </c>
      <c r="O49" s="7" t="str">
        <v>原文明示</v>
      </c>
      <c r="P49" s="7" t="str">
        <v>不适用</v>
      </c>
      <c r="Q49" s="7" t="str">
        <v>需原剧分场复核，清单不能证明完整性</v>
      </c>
      <c r="R49" s="7" t="str"/>
      <c r="S49" s="7" t="str"/>
      <c r="T49" s="7" t="str">
        <v>有效</v>
      </c>
      <c r="U49" s="7" t="str"/>
    </row>
    <row r="50" ht="70" customHeight="1">
      <c r="A50" s="7" t="str">
        <v>USE-0046</v>
      </c>
      <c r="B50" s="7" t="str">
        <v>未提供分场｜第34—41集</v>
      </c>
      <c r="C50" s="8" t="n">
        <v>46</v>
      </c>
      <c r="D50" s="9" t="str">
        <v>LOC-0022</v>
      </c>
      <c r="E50" s="9" t="str">
        <v>LCV-0022</v>
      </c>
      <c r="F50" s="7" t="str"/>
      <c r="G50" s="7" t="str">
        <v>待确认</v>
      </c>
      <c r="H50" s="7" t="str">
        <v>未明确</v>
      </c>
      <c r="I50" s="7" t="str">
        <v>未明确</v>
      </c>
      <c r="J50" s="7" t="str">
        <v>未明确</v>
      </c>
      <c r="K50" s="7" t="str">
        <v>未明确</v>
      </c>
      <c r="L50" s="7" t="str">
        <v>中心首位、两侧座席、出入口需保持真实关系；子空间及母场景分组不等于可共用同一张图</v>
      </c>
      <c r="M50" s="7" t="str">
        <v>用户精简清单 T2R007</v>
      </c>
      <c r="N50" s="7" t="str">
        <v>S06 私人会所；第34集起至41集；门外、内部大厅、中央首位、两侧座席、出入口；会所桌椅、茶桌、主位座椅、装饰和照明</v>
      </c>
      <c r="O50" s="7" t="str">
        <v>原文明示</v>
      </c>
      <c r="P50" s="7" t="str">
        <v>不适用</v>
      </c>
      <c r="Q50" s="7" t="str">
        <v>需原剧分场复核，清单不能证明完整性</v>
      </c>
      <c r="R50" s="7" t="str"/>
      <c r="S50" s="7" t="str"/>
      <c r="T50" s="7" t="str">
        <v>有效</v>
      </c>
      <c r="U50" s="7" t="str"/>
    </row>
    <row r="51" ht="70" customHeight="1">
      <c r="A51" s="7" t="str">
        <v>USE-0047</v>
      </c>
      <c r="B51" s="7" t="str">
        <v>未提供分场｜第42—51集</v>
      </c>
      <c r="C51" s="8" t="n">
        <v>47</v>
      </c>
      <c r="D51" s="9" t="str">
        <v>LOC-0023</v>
      </c>
      <c r="E51" s="9" t="str">
        <v>LCV-0023</v>
      </c>
      <c r="F51" s="7" t="str"/>
      <c r="G51" s="7" t="str">
        <v>待确认</v>
      </c>
      <c r="H51" s="7" t="str">
        <v>未明确</v>
      </c>
      <c r="I51" s="7" t="str">
        <v>未明确</v>
      </c>
      <c r="J51" s="7" t="str">
        <v>未明确</v>
      </c>
      <c r="K51" s="7" t="str">
        <v>未明确</v>
      </c>
      <c r="L51" s="7" t="str">
        <v>高台、台阶、两侧门为部件，非三个新房间；子空间及母场景分组不等于可共用同一张图</v>
      </c>
      <c r="M51" s="7" t="str">
        <v>用户精简清单 T2R008</v>
      </c>
      <c r="N51" s="7" t="str">
        <v>S07 裁决殿；第42集起至51集；大殿、裁决高台、台阶、两侧门、殿外；石柱、固定台座、座椅、灯具、殿内纹饰</v>
      </c>
      <c r="O51" s="7" t="str">
        <v>原文明示</v>
      </c>
      <c r="P51" s="7" t="str">
        <v>不适用</v>
      </c>
      <c r="Q51" s="7" t="str">
        <v>需原剧分场复核，清单不能证明完整性</v>
      </c>
      <c r="R51" s="7" t="str"/>
      <c r="S51" s="7" t="str"/>
      <c r="T51" s="7" t="str">
        <v>有效</v>
      </c>
      <c r="U51" s="7" t="str"/>
    </row>
    <row r="52" ht="70" customHeight="1">
      <c r="A52" s="7" t="str">
        <v>USE-0048</v>
      </c>
      <c r="B52" s="7" t="str">
        <v>未提供分场｜第42—51集</v>
      </c>
      <c r="C52" s="8" t="n">
        <v>48</v>
      </c>
      <c r="D52" s="9" t="str">
        <v>LOC-0024</v>
      </c>
      <c r="E52" s="9" t="str">
        <v>LCV-0024</v>
      </c>
      <c r="F52" s="7" t="str"/>
      <c r="G52" s="7" t="str">
        <v>待确认</v>
      </c>
      <c r="H52" s="7" t="str">
        <v>未明确</v>
      </c>
      <c r="I52" s="7" t="str">
        <v>未明确</v>
      </c>
      <c r="J52" s="7" t="str">
        <v>未明确</v>
      </c>
      <c r="K52" s="7" t="str">
        <v>未明确</v>
      </c>
      <c r="L52" s="7" t="str">
        <v>高台、台阶、两侧门为部件，非三个新房间；子空间及母场景分组不等于可共用同一张图</v>
      </c>
      <c r="M52" s="7" t="str">
        <v>用户精简清单 T2R008</v>
      </c>
      <c r="N52" s="7" t="str">
        <v>S07 裁决殿；第42集起至51集；大殿、裁决高台、台阶、两侧门、殿外；石柱、固定台座、座椅、灯具、殿内纹饰</v>
      </c>
      <c r="O52" s="7" t="str">
        <v>原文明示</v>
      </c>
      <c r="P52" s="7" t="str">
        <v>不适用</v>
      </c>
      <c r="Q52" s="7" t="str">
        <v>需原剧分场复核，清单不能证明完整性</v>
      </c>
      <c r="R52" s="7" t="str"/>
      <c r="S52" s="7" t="str"/>
      <c r="T52" s="7" t="str">
        <v>有效</v>
      </c>
      <c r="U52" s="7" t="str"/>
    </row>
    <row r="53" ht="55" customHeight="1">
      <c r="A53" s="7" t="str">
        <v>USE-0049</v>
      </c>
      <c r="B53" s="7" t="str">
        <v>未提供分场｜第2—3集</v>
      </c>
      <c r="C53" s="8" t="n">
        <v>49</v>
      </c>
      <c r="D53" s="9" t="str">
        <v>LOC-0025</v>
      </c>
      <c r="E53" s="9" t="str">
        <v>LCV-0025</v>
      </c>
      <c r="F53" s="7" t="str"/>
      <c r="G53" s="7" t="str">
        <v>待确认</v>
      </c>
      <c r="H53" s="7" t="str">
        <v>未明确</v>
      </c>
      <c r="I53" s="7" t="str">
        <v>未明确</v>
      </c>
      <c r="J53" s="7" t="str">
        <v>未明确</v>
      </c>
      <c r="K53" s="7" t="str">
        <v>未明确</v>
      </c>
      <c r="L53" s="7" t="str">
        <v>同一家店的室内/外立面对应；子空间及母场景分组不等于可共用同一张图</v>
      </c>
      <c r="M53" s="7" t="str">
        <v>用户精简清单 T3R002</v>
      </c>
      <c r="N53" s="7" t="str">
        <v>S08 咖啡馆；第2—3集；室内卡座和门口采访区共用一家咖啡馆；门口使用同一外立面</v>
      </c>
      <c r="O53" s="7" t="str">
        <v>原文明示</v>
      </c>
      <c r="P53" s="7" t="str">
        <v>不适用</v>
      </c>
      <c r="Q53" s="7" t="str">
        <v>需原剧分场复核，清单不能证明完整性</v>
      </c>
      <c r="R53" s="7" t="str"/>
      <c r="S53" s="7" t="str"/>
      <c r="T53" s="7" t="str">
        <v>有效</v>
      </c>
      <c r="U53" s="7" t="str"/>
    </row>
    <row r="54" ht="55" customHeight="1">
      <c r="A54" s="7" t="str">
        <v>USE-0050</v>
      </c>
      <c r="B54" s="7" t="str">
        <v>未提供分场｜第2—3集</v>
      </c>
      <c r="C54" s="8" t="n">
        <v>50</v>
      </c>
      <c r="D54" s="9" t="str">
        <v>LOC-0026</v>
      </c>
      <c r="E54" s="9" t="str">
        <v>LCV-0026</v>
      </c>
      <c r="F54" s="7" t="str"/>
      <c r="G54" s="7" t="str">
        <v>待确认</v>
      </c>
      <c r="H54" s="7" t="str">
        <v>未明确</v>
      </c>
      <c r="I54" s="7" t="str">
        <v>未明确</v>
      </c>
      <c r="J54" s="7" t="str">
        <v>未明确</v>
      </c>
      <c r="K54" s="7" t="str">
        <v>未明确</v>
      </c>
      <c r="L54" s="7" t="str">
        <v>同一家店的室内/外立面对应；子空间及母场景分组不等于可共用同一张图</v>
      </c>
      <c r="M54" s="7" t="str">
        <v>用户精简清单 T3R002</v>
      </c>
      <c r="N54" s="7" t="str">
        <v>S08 咖啡馆；第2—3集；室内卡座和门口采访区共用一家咖啡馆；门口使用同一外立面</v>
      </c>
      <c r="O54" s="7" t="str">
        <v>原文明示</v>
      </c>
      <c r="P54" s="7" t="str">
        <v>不适用</v>
      </c>
      <c r="Q54" s="7" t="str">
        <v>需原剧分场复核，清单不能证明完整性</v>
      </c>
      <c r="R54" s="7" t="str"/>
      <c r="S54" s="7" t="str"/>
      <c r="T54" s="7" t="str">
        <v>有效</v>
      </c>
      <c r="U54" s="7" t="str"/>
    </row>
    <row r="55" ht="70" customHeight="1">
      <c r="A55" s="7" t="str">
        <v>USE-0051</v>
      </c>
      <c r="B55" s="7" t="str">
        <v>未提供分场｜第3—5集</v>
      </c>
      <c r="C55" s="8" t="n">
        <v>51</v>
      </c>
      <c r="D55" s="9" t="str">
        <v>LOC-0027</v>
      </c>
      <c r="E55" s="9" t="str">
        <v>LCV-0027</v>
      </c>
      <c r="F55" s="7" t="str"/>
      <c r="G55" s="7" t="str">
        <v>待确认</v>
      </c>
      <c r="H55" s="7" t="str">
        <v>未明确</v>
      </c>
      <c r="I55" s="7" t="str">
        <v>未明确</v>
      </c>
      <c r="J55" s="7" t="str">
        <v>未明确</v>
      </c>
      <c r="K55" s="7" t="str">
        <v>未明确</v>
      </c>
      <c r="L55" s="7" t="str">
        <v>连续公共通道；店面走廊按实际镜头扩展，不凭空增加房间；子空间及母场景分组不等于可共用同一张图</v>
      </c>
      <c r="M55" s="7" t="str">
        <v>用户精简清单 T3R003</v>
      </c>
      <c r="N55" s="7" t="str">
        <v>S09 商场；第3—5集；一个连续公共通道，必要时按镜头扩展店面、走廊</v>
      </c>
      <c r="O55" s="7" t="str">
        <v>原文明示</v>
      </c>
      <c r="P55" s="7" t="str">
        <v>不适用</v>
      </c>
      <c r="Q55" s="7" t="str">
        <v>需原剧分场复核，清单不能证明完整性</v>
      </c>
      <c r="R55" s="7" t="str"/>
      <c r="S55" s="7" t="str"/>
      <c r="T55" s="7" t="str">
        <v>有效</v>
      </c>
      <c r="U55" s="7" t="str"/>
    </row>
    <row r="56" ht="55" customHeight="1">
      <c r="A56" s="7" t="str">
        <v>USE-0052</v>
      </c>
      <c r="B56" s="7" t="str">
        <v>未提供分场｜第4集闪回</v>
      </c>
      <c r="C56" s="8" t="n">
        <v>52</v>
      </c>
      <c r="D56" s="9" t="str">
        <v>LOC-0028</v>
      </c>
      <c r="E56" s="9" t="str">
        <v>LCV-0028</v>
      </c>
      <c r="F56" s="7" t="str"/>
      <c r="G56" s="7" t="str">
        <v>待确认</v>
      </c>
      <c r="H56" s="7" t="str">
        <v>闪回</v>
      </c>
      <c r="I56" s="7" t="str">
        <v>未明确</v>
      </c>
      <c r="J56" s="7" t="str">
        <v>未明确</v>
      </c>
      <c r="K56" s="7" t="str">
        <v>未明确</v>
      </c>
      <c r="L56" s="7" t="str">
        <v>书房与密室通过墙上观察孔关联；子空间及母场景分组不等于可共用同一张图</v>
      </c>
      <c r="M56" s="7" t="str">
        <v>用户精简清单 T3R004</v>
      </c>
      <c r="N56" s="7" t="str">
        <v>S10 少年江辰的家；第4集闪回；书房与密室必须通过墙上观察孔关联，不能分成无关场景</v>
      </c>
      <c r="O56" s="7" t="str">
        <v>原文明示</v>
      </c>
      <c r="P56" s="7" t="str">
        <v>不适用</v>
      </c>
      <c r="Q56" s="7" t="str">
        <v>需原剧分场复核，清单不能证明完整性</v>
      </c>
      <c r="R56" s="7" t="str"/>
      <c r="S56" s="7" t="str"/>
      <c r="T56" s="7" t="str">
        <v>有效</v>
      </c>
      <c r="U56" s="7" t="str"/>
    </row>
    <row r="57" ht="55" customHeight="1">
      <c r="A57" s="7" t="str">
        <v>USE-0053</v>
      </c>
      <c r="B57" s="7" t="str">
        <v>未提供分场｜第4集闪回</v>
      </c>
      <c r="C57" s="8" t="n">
        <v>53</v>
      </c>
      <c r="D57" s="9" t="str">
        <v>LOC-0029</v>
      </c>
      <c r="E57" s="9" t="str">
        <v>LCV-0029</v>
      </c>
      <c r="F57" s="7" t="str"/>
      <c r="G57" s="7" t="str">
        <v>待确认</v>
      </c>
      <c r="H57" s="7" t="str">
        <v>闪回</v>
      </c>
      <c r="I57" s="7" t="str">
        <v>未明确</v>
      </c>
      <c r="J57" s="7" t="str">
        <v>未明确</v>
      </c>
      <c r="K57" s="7" t="str">
        <v>未明确</v>
      </c>
      <c r="L57" s="7" t="str">
        <v>书房与密室通过墙上观察孔关联；子空间及母场景分组不等于可共用同一张图</v>
      </c>
      <c r="M57" s="7" t="str">
        <v>用户精简清单 T3R004</v>
      </c>
      <c r="N57" s="7" t="str">
        <v>S10 少年江辰的家；第4集闪回；书房与密室必须通过墙上观察孔关联，不能分成无关场景</v>
      </c>
      <c r="O57" s="7" t="str">
        <v>原文明示</v>
      </c>
      <c r="P57" s="7" t="str">
        <v>不适用</v>
      </c>
      <c r="Q57" s="7" t="str">
        <v>需原剧分场复核，清单不能证明完整性</v>
      </c>
      <c r="R57" s="7" t="str"/>
      <c r="S57" s="7" t="str"/>
      <c r="T57" s="7" t="str">
        <v>有效</v>
      </c>
      <c r="U57" s="7" t="str"/>
    </row>
    <row r="58" ht="55" customHeight="1">
      <c r="A58" s="7" t="str">
        <v>USE-0054</v>
      </c>
      <c r="B58" s="7" t="str">
        <v>未提供分场｜第6、9集</v>
      </c>
      <c r="C58" s="8" t="n">
        <v>54</v>
      </c>
      <c r="D58" s="9" t="str">
        <v>LOC-0030</v>
      </c>
      <c r="E58" s="9" t="str">
        <v>LCV-0030</v>
      </c>
      <c r="F58" s="7" t="str"/>
      <c r="G58" s="7" t="str">
        <v>待确认</v>
      </c>
      <c r="H58" s="7" t="str">
        <v>未明确</v>
      </c>
      <c r="I58" s="7" t="str">
        <v>未明确</v>
      </c>
      <c r="J58" s="7" t="str">
        <v>未明确</v>
      </c>
      <c r="K58" s="7" t="str">
        <v>未明确</v>
      </c>
      <c r="L58" s="7" t="str">
        <v>源“张阎王家/别墅大厅”归并在此；不与苏家别墅合并；子空间及母场景分组不等于可共用同一张图</v>
      </c>
      <c r="M58" s="7" t="str">
        <v>用户精简清单 T3R005</v>
      </c>
      <c r="N58" s="7" t="str">
        <v>S11 张阎王家；第6、9集；“张阎王家”与“别墅大厅”合并；沙发、茶几融入场景</v>
      </c>
      <c r="O58" s="7" t="str">
        <v>原文明示</v>
      </c>
      <c r="P58" s="7" t="str">
        <v>不适用</v>
      </c>
      <c r="Q58" s="7" t="str">
        <v>需原剧分场复核，清单不能证明完整性</v>
      </c>
      <c r="R58" s="7" t="str"/>
      <c r="S58" s="7" t="str"/>
      <c r="T58" s="7" t="str">
        <v>有效</v>
      </c>
      <c r="U58" s="7" t="str"/>
    </row>
    <row r="59" ht="85" customHeight="1">
      <c r="A59" s="7" t="str">
        <v>USE-0055</v>
      </c>
      <c r="B59" s="7" t="str">
        <v>未提供分场｜第22、29、53集；三者与集数对应未明确</v>
      </c>
      <c r="C59" s="8" t="n">
        <v>55</v>
      </c>
      <c r="D59" s="9" t="str">
        <v>LOC-0031</v>
      </c>
      <c r="E59" s="9" t="str">
        <v>LCV-0031</v>
      </c>
      <c r="F59" s="7" t="str"/>
      <c r="G59" s="7" t="str">
        <v>待确认</v>
      </c>
      <c r="H59" s="7" t="str">
        <v>未明确</v>
      </c>
      <c r="I59" s="7" t="str">
        <v>未明确</v>
      </c>
      <c r="J59" s="7" t="str">
        <v>未明确</v>
      </c>
      <c r="K59" s="7" t="str">
        <v>未明确</v>
      </c>
      <c r="L59" s="7" t="str">
        <v>同屋/异屋未证实；仅审美可复用；子空间及母场景分组不等于可共用同一张图</v>
      </c>
      <c r="M59" s="7" t="str">
        <v>用户精简清单 P039</v>
      </c>
      <c r="N59" s="7" t="str">
        <v>3. 银女修炼密室、鲨鱼会议密室、神秘面具女性所在密室是否为同一实际地点，剧本未明确说明；在制作资产时可复用美术设计，但不能擅自认定为同一个房间。</v>
      </c>
      <c r="O59" s="7" t="str">
        <v>原文明示</v>
      </c>
      <c r="P59" s="7" t="str">
        <v>不适用</v>
      </c>
      <c r="Q59" s="7" t="str">
        <v>需原剧分场复核，清单不能证明完整性</v>
      </c>
      <c r="R59" s="7" t="str"/>
      <c r="S59" s="7" t="str"/>
      <c r="T59" s="7" t="str">
        <v>有效</v>
      </c>
      <c r="U59" s="7" t="str"/>
    </row>
    <row r="60" ht="85" customHeight="1">
      <c r="A60" s="7" t="str">
        <v>USE-0056</v>
      </c>
      <c r="B60" s="7" t="str">
        <v>未提供分场｜第22、29、53集；三者与集数对应未明确</v>
      </c>
      <c r="C60" s="8" t="n">
        <v>56</v>
      </c>
      <c r="D60" s="9" t="str">
        <v>LOC-0032</v>
      </c>
      <c r="E60" s="9" t="str">
        <v>LCV-0032</v>
      </c>
      <c r="F60" s="7" t="str"/>
      <c r="G60" s="7" t="str">
        <v>待确认</v>
      </c>
      <c r="H60" s="7" t="str">
        <v>未明确</v>
      </c>
      <c r="I60" s="7" t="str">
        <v>未明确</v>
      </c>
      <c r="J60" s="7" t="str">
        <v>未明确</v>
      </c>
      <c r="K60" s="7" t="str">
        <v>未明确</v>
      </c>
      <c r="L60" s="7" t="str">
        <v>同屋/异屋未证实；仅审美可复用；子空间及母场景分组不等于可共用同一张图</v>
      </c>
      <c r="M60" s="7" t="str">
        <v>用户精简清单 P039</v>
      </c>
      <c r="N60" s="7" t="str">
        <v>3. 银女修炼密室、鲨鱼会议密室、神秘面具女性所在密室是否为同一实际地点，剧本未明确说明；在制作资产时可复用美术设计，但不能擅自认定为同一个房间。</v>
      </c>
      <c r="O60" s="7" t="str">
        <v>原文明示</v>
      </c>
      <c r="P60" s="7" t="str">
        <v>不适用</v>
      </c>
      <c r="Q60" s="7" t="str">
        <v>需原剧分场复核，清单不能证明完整性</v>
      </c>
      <c r="R60" s="7" t="str"/>
      <c r="S60" s="7" t="str"/>
      <c r="T60" s="7" t="str">
        <v>有效</v>
      </c>
      <c r="U60" s="7" t="str"/>
    </row>
    <row r="61" ht="85" customHeight="1">
      <c r="A61" s="7" t="str">
        <v>USE-0057</v>
      </c>
      <c r="B61" s="7" t="str">
        <v>未提供分场｜第22、29、53集；三者与集数对应未明确</v>
      </c>
      <c r="C61" s="8" t="n">
        <v>57</v>
      </c>
      <c r="D61" s="9" t="str">
        <v>LOC-0033</v>
      </c>
      <c r="E61" s="9" t="str">
        <v>LCV-0033</v>
      </c>
      <c r="F61" s="7" t="str"/>
      <c r="G61" s="7" t="str">
        <v>待确认</v>
      </c>
      <c r="H61" s="7" t="str">
        <v>未明确</v>
      </c>
      <c r="I61" s="7" t="str">
        <v>未明确</v>
      </c>
      <c r="J61" s="7" t="str">
        <v>未明确</v>
      </c>
      <c r="K61" s="7" t="str">
        <v>未明确</v>
      </c>
      <c r="L61" s="7" t="str">
        <v>同屋/异屋未证实；仅审美可复用；子空间及母场景分组不等于可共用同一张图</v>
      </c>
      <c r="M61" s="7" t="str">
        <v>用户精简清单 P039</v>
      </c>
      <c r="N61" s="7" t="str">
        <v>3. 银女修炼密室、鲨鱼会议密室、神秘面具女性所在密室是否为同一实际地点，剧本未明确说明；在制作资产时可复用美术设计，但不能擅自认定为同一个房间。</v>
      </c>
      <c r="O61" s="7" t="str">
        <v>原文明示</v>
      </c>
      <c r="P61" s="7" t="str">
        <v>不适用</v>
      </c>
      <c r="Q61" s="7" t="str">
        <v>需原剧分场复核，清单不能证明完整性</v>
      </c>
      <c r="R61" s="7" t="str"/>
      <c r="S61" s="7" t="str"/>
      <c r="T61" s="7" t="str">
        <v>有效</v>
      </c>
      <c r="U61" s="7" t="str"/>
    </row>
    <row r="62" ht="55" customHeight="1">
      <c r="A62" s="7" t="str">
        <v>USE-0058</v>
      </c>
      <c r="B62" s="7" t="str">
        <v>未提供分场｜第28—31集</v>
      </c>
      <c r="C62" s="8" t="n">
        <v>58</v>
      </c>
      <c r="D62" s="9" t="str">
        <v>LOC-0034</v>
      </c>
      <c r="E62" s="9" t="str">
        <v>LCV-0034</v>
      </c>
      <c r="F62" s="7" t="str"/>
      <c r="G62" s="7" t="str">
        <v>待确认</v>
      </c>
      <c r="H62" s="7" t="str">
        <v>未明确</v>
      </c>
      <c r="I62" s="7" t="str">
        <v>未明确</v>
      </c>
      <c r="J62" s="7" t="str">
        <v>未明确</v>
      </c>
      <c r="K62" s="7" t="str">
        <v>未明确</v>
      </c>
      <c r="L62" s="7" t="str">
        <v>两实际子空间，统一装修但不能合成一个房间；子空间及母场景分组不等于可共用同一张图</v>
      </c>
      <c r="M62" s="7" t="str">
        <v>用户精简清单 T3R007</v>
      </c>
      <c r="N62" s="7" t="str">
        <v>S13 医院；第28—31集；手术室门口和病房作为两个实际子空间，装修语言统一</v>
      </c>
      <c r="O62" s="7" t="str">
        <v>原文明示</v>
      </c>
      <c r="P62" s="7" t="str">
        <v>不适用</v>
      </c>
      <c r="Q62" s="7" t="str">
        <v>需原剧分场复核，清单不能证明完整性</v>
      </c>
      <c r="R62" s="7" t="str"/>
      <c r="S62" s="7" t="str"/>
      <c r="T62" s="7" t="str">
        <v>有效</v>
      </c>
      <c r="U62" s="7" t="str"/>
    </row>
    <row r="63" ht="55" customHeight="1">
      <c r="A63" s="7" t="str">
        <v>USE-0059</v>
      </c>
      <c r="B63" s="7" t="str">
        <v>未提供分场｜第28—31集</v>
      </c>
      <c r="C63" s="8" t="n">
        <v>59</v>
      </c>
      <c r="D63" s="9" t="str">
        <v>LOC-0035</v>
      </c>
      <c r="E63" s="9" t="str">
        <v>LCV-0035</v>
      </c>
      <c r="F63" s="7" t="str"/>
      <c r="G63" s="7" t="str">
        <v>待确认</v>
      </c>
      <c r="H63" s="7" t="str">
        <v>未明确</v>
      </c>
      <c r="I63" s="7" t="str">
        <v>未明确</v>
      </c>
      <c r="J63" s="7" t="str">
        <v>未明确</v>
      </c>
      <c r="K63" s="7" t="str">
        <v>未明确</v>
      </c>
      <c r="L63" s="7" t="str">
        <v>两实际子空间，统一装修但不能合成一个房间；子空间及母场景分组不等于可共用同一张图</v>
      </c>
      <c r="M63" s="7" t="str">
        <v>用户精简清单 T3R007</v>
      </c>
      <c r="N63" s="7" t="str">
        <v>S13 医院；第28—31集；手术室门口和病房作为两个实际子空间，装修语言统一</v>
      </c>
      <c r="O63" s="7" t="str">
        <v>原文明示</v>
      </c>
      <c r="P63" s="7" t="str">
        <v>不适用</v>
      </c>
      <c r="Q63" s="7" t="str">
        <v>需原剧分场复核，清单不能证明完整性</v>
      </c>
      <c r="R63" s="7" t="str"/>
      <c r="S63" s="7" t="str"/>
      <c r="T63" s="7" t="str">
        <v>有效</v>
      </c>
      <c r="U63" s="7" t="str"/>
    </row>
    <row r="64" ht="70" customHeight="1">
      <c r="A64" s="7" t="str">
        <v>USE-0060</v>
      </c>
      <c r="B64" s="7" t="str">
        <v>未提供分场｜第31—32集</v>
      </c>
      <c r="C64" s="8" t="n">
        <v>60</v>
      </c>
      <c r="D64" s="9" t="str">
        <v>LOC-0036</v>
      </c>
      <c r="E64" s="9" t="str">
        <v>LCV-0036</v>
      </c>
      <c r="F64" s="7" t="str"/>
      <c r="G64" s="7" t="str">
        <v>待确认</v>
      </c>
      <c r="H64" s="7" t="str">
        <v>未明确</v>
      </c>
      <c r="I64" s="7" t="str">
        <v>未明确</v>
      </c>
      <c r="J64" s="7" t="str">
        <v>未明确</v>
      </c>
      <c r="K64" s="7" t="str">
        <v>未明确</v>
      </c>
      <c r="L64" s="7" t="str">
        <v>无名合葬墓与周边墓道固定；父母墓碑身份与无名如何对应待核；子空间及母场景分组不等于可共用同一张图</v>
      </c>
      <c r="M64" s="7" t="str">
        <v>用户精简清单 T3R008</v>
      </c>
      <c r="N64" s="7" t="str">
        <v>S14 墓地；第31—32集；无名合葬墓和周边墓道构成固定构图；雨天为环境状态</v>
      </c>
      <c r="O64" s="7" t="str">
        <v>原文明示</v>
      </c>
      <c r="P64" s="7" t="str">
        <v>不适用</v>
      </c>
      <c r="Q64" s="7" t="str">
        <v>需原剧分场复核，清单不能证明完整性</v>
      </c>
      <c r="R64" s="7" t="str"/>
      <c r="S64" s="7" t="str"/>
      <c r="T64" s="7" t="str">
        <v>有效</v>
      </c>
      <c r="U64" s="7" t="str"/>
    </row>
    <row r="65" ht="70" customHeight="1">
      <c r="A65" s="7" t="str">
        <v>USE-0061</v>
      </c>
      <c r="B65" s="7" t="str">
        <v>未提供分场｜第27—28集</v>
      </c>
      <c r="C65" s="8" t="n">
        <v>61</v>
      </c>
      <c r="D65" s="9" t="str">
        <v>LOC-0037</v>
      </c>
      <c r="E65" s="9" t="str">
        <v>LCV-0037</v>
      </c>
      <c r="F65" s="7" t="str"/>
      <c r="G65" s="7" t="str">
        <v>待确认</v>
      </c>
      <c r="H65" s="7" t="str">
        <v>未明确</v>
      </c>
      <c r="I65" s="7" t="str">
        <v>未明确</v>
      </c>
      <c r="J65" s="7" t="str">
        <v>未明确</v>
      </c>
      <c r="K65" s="7" t="str">
        <v>未明确</v>
      </c>
      <c r="L65" s="7" t="str">
        <v>审问与伏击连续戏需树木、站位和射击方向统一；子空间及母场景分组不等于可共用同一张图</v>
      </c>
      <c r="M65" s="7" t="str">
        <v>用户精简清单 T4R003</v>
      </c>
      <c r="N65" s="7" t="str">
        <v>T02 野外空地；第27—28集；建立一个地形参考画面即可；审问与伏击连续戏需锁定树木、人物站位和射击方向。</v>
      </c>
      <c r="O65" s="7" t="str">
        <v>原文明示</v>
      </c>
      <c r="P65" s="7" t="str">
        <v>不适用</v>
      </c>
      <c r="Q65" s="7" t="str">
        <v>需原剧分场复核，清单不能证明完整性</v>
      </c>
      <c r="R65" s="7" t="str"/>
      <c r="S65" s="7" t="str"/>
      <c r="T65" s="7" t="str">
        <v>有效</v>
      </c>
      <c r="U65" s="7" t="str"/>
    </row>
    <row r="66" ht="70" customHeight="1">
      <c r="A66" s="7" t="str">
        <v>USE-0062</v>
      </c>
      <c r="B66" s="7" t="str">
        <v>未提供分场｜具体集场未明确</v>
      </c>
      <c r="C66" s="8" t="n">
        <v>62</v>
      </c>
      <c r="D66" s="9" t="str">
        <v>LOC-0008</v>
      </c>
      <c r="E66" s="9" t="str">
        <v>LCV-0038</v>
      </c>
      <c r="F66" s="7" t="str"/>
      <c r="G66" s="7" t="str">
        <v>待确认</v>
      </c>
      <c r="H66" s="7" t="str">
        <v>未明确</v>
      </c>
      <c r="I66" s="7" t="str">
        <v>未明确</v>
      </c>
      <c r="J66" s="7" t="str">
        <v>未明确</v>
      </c>
      <c r="K66" s="7" t="str">
        <v>未明确</v>
      </c>
      <c r="L66" s="7" t="str">
        <v>建筑与院子基准不变；开始/结束分场未提供</v>
      </c>
      <c r="M66" s="7" t="str">
        <v>用户精简清单 T5R002</v>
      </c>
      <c r="N66" s="7" t="str">
        <v>苏家别墅；大厅/客厅/餐厅/卧室/走廊/院子；卧室各自为独立物理房间；卧室阳台能看到院子；院子需白天、夜间、订婚版，建筑不变</v>
      </c>
      <c r="O66" s="7" t="str">
        <v>原文明示</v>
      </c>
      <c r="P66" s="7" t="str">
        <v>不适用</v>
      </c>
      <c r="Q66" s="7" t="str">
        <v>需原剧分场复核，清单不能证明完整性</v>
      </c>
      <c r="R66" s="7" t="str"/>
      <c r="S66" s="7" t="str"/>
      <c r="T66" s="7" t="str">
        <v>有效</v>
      </c>
      <c r="U66" s="7" t="str"/>
    </row>
    <row r="67" ht="70" customHeight="1">
      <c r="A67" s="7" t="str">
        <v>USE-0063</v>
      </c>
      <c r="B67" s="7" t="str">
        <v>未提供分场｜具体集场未明确</v>
      </c>
      <c r="C67" s="8" t="n">
        <v>63</v>
      </c>
      <c r="D67" s="9" t="str">
        <v>LOC-0008</v>
      </c>
      <c r="E67" s="9" t="str">
        <v>LCV-0039</v>
      </c>
      <c r="F67" s="7" t="str"/>
      <c r="G67" s="7" t="str">
        <v>待确认</v>
      </c>
      <c r="H67" s="7" t="str">
        <v>未明确</v>
      </c>
      <c r="I67" s="7" t="str">
        <v>未明确</v>
      </c>
      <c r="J67" s="7" t="str">
        <v>未明确</v>
      </c>
      <c r="K67" s="7" t="str">
        <v>未明确</v>
      </c>
      <c r="L67" s="7" t="str">
        <v>同一院子夜景，不更换建筑；开始/结束分场未提供</v>
      </c>
      <c r="M67" s="7" t="str">
        <v>用户精简清单 T5R002</v>
      </c>
      <c r="N67" s="7" t="str">
        <v>苏家别墅；大厅/客厅/餐厅/卧室/走廊/院子；卧室各自为独立物理房间；卧室阳台能看到院子；院子需白天、夜间、订婚版，建筑不变</v>
      </c>
      <c r="O67" s="7" t="str">
        <v>原文明示</v>
      </c>
      <c r="P67" s="7" t="str">
        <v>不适用</v>
      </c>
      <c r="Q67" s="7" t="str">
        <v>需原剧分场复核，清单不能证明完整性</v>
      </c>
      <c r="R67" s="7" t="str"/>
      <c r="S67" s="7" t="str"/>
      <c r="T67" s="7" t="str">
        <v>有效</v>
      </c>
      <c r="U67" s="7" t="str"/>
    </row>
    <row r="68" ht="55" customHeight="1">
      <c r="A68" s="7" t="str">
        <v>USE-0064</v>
      </c>
      <c r="B68" s="7" t="str">
        <v>未提供分场｜第53—60集关联；逐场待核</v>
      </c>
      <c r="C68" s="8" t="n">
        <v>64</v>
      </c>
      <c r="D68" s="9" t="str">
        <v>LOC-0008</v>
      </c>
      <c r="E68" s="9" t="str">
        <v>LCV-0040</v>
      </c>
      <c r="F68" s="7" t="str"/>
      <c r="G68" s="7" t="str">
        <v>待确认</v>
      </c>
      <c r="H68" s="7" t="str">
        <v>未明确</v>
      </c>
      <c r="I68" s="7" t="str">
        <v>未明确</v>
      </c>
      <c r="J68" s="7" t="str">
        <v>未明确</v>
      </c>
      <c r="K68" s="7" t="str">
        <v>未明确</v>
      </c>
      <c r="L68" s="7" t="str">
        <v>叠加鲜花、迎宾与礼仪陈设；别墅不变；开始/结束分场未提供</v>
      </c>
      <c r="M68" s="7" t="str">
        <v>用户精简清单 T6R013</v>
      </c>
      <c r="N68" s="7" t="str">
        <v>苏家订婚院子；鲜花装饰、迎宾布置、礼仪陈设；在原院子上叠加，不能换一栋别墅</v>
      </c>
      <c r="O68" s="7" t="str">
        <v>原文明示</v>
      </c>
      <c r="P68" s="7" t="str">
        <v>不适用</v>
      </c>
      <c r="Q68" s="7" t="str">
        <v>需原剧分场复核，清单不能证明完整性</v>
      </c>
      <c r="R68" s="7" t="str"/>
      <c r="S68" s="7" t="str"/>
      <c r="T68" s="7" t="str">
        <v>有效</v>
      </c>
      <c r="U68" s="7" t="str"/>
    </row>
    <row r="69" ht="55" customHeight="1">
      <c r="A69" s="7" t="str">
        <v>USE-0065</v>
      </c>
      <c r="B69" s="7" t="str">
        <v>未提供分场｜第31—32集；具体场次未明</v>
      </c>
      <c r="C69" s="8" t="n">
        <v>65</v>
      </c>
      <c r="D69" s="9" t="str">
        <v>LOC-0036</v>
      </c>
      <c r="E69" s="9" t="str">
        <v>LCV-0041</v>
      </c>
      <c r="F69" s="7" t="str"/>
      <c r="G69" s="7" t="str">
        <v>待确认</v>
      </c>
      <c r="H69" s="7" t="str">
        <v>未明确</v>
      </c>
      <c r="I69" s="7" t="str">
        <v>未明确</v>
      </c>
      <c r="J69" s="7" t="str">
        <v>未明确</v>
      </c>
      <c r="K69" s="7" t="str">
        <v>未明确</v>
      </c>
      <c r="L69" s="7" t="str">
        <v>同一墓地雨天环境；雨强与地面湿润程度未明；开始/结束分场未提供</v>
      </c>
      <c r="M69" s="7" t="str">
        <v>用户精简清单 T3R008</v>
      </c>
      <c r="N69" s="7" t="str">
        <v>S14 墓地；第31—32集；无名合葬墓和周边墓道构成固定构图；雨天为环境状态</v>
      </c>
      <c r="O69" s="7" t="str">
        <v>原文明示</v>
      </c>
      <c r="P69" s="7" t="str">
        <v>不适用</v>
      </c>
      <c r="Q69" s="7" t="str">
        <v>需原剧分场复核，清单不能证明完整性</v>
      </c>
      <c r="R69" s="7" t="str"/>
      <c r="S69" s="7" t="str"/>
      <c r="T69" s="7" t="str">
        <v>有效</v>
      </c>
      <c r="U69" s="7" t="str"/>
    </row>
    <row r="70" ht="70" customHeight="1">
      <c r="A70" s="7" t="str">
        <v>USE-0066</v>
      </c>
      <c r="B70" s="7" t="str">
        <v>未提供分场｜第9集关联；第22集地点不明不归入本场景</v>
      </c>
      <c r="C70" s="8" t="n">
        <v>66</v>
      </c>
      <c r="D70" s="9" t="str">
        <v>LOC-0030</v>
      </c>
      <c r="E70" s="9" t="str">
        <v>LCV-0042</v>
      </c>
      <c r="F70" s="7" t="str"/>
      <c r="G70" s="7" t="str">
        <v>待确认</v>
      </c>
      <c r="H70" s="7" t="str">
        <v>未明确</v>
      </c>
      <c r="I70" s="7" t="str">
        <v>未明确</v>
      </c>
      <c r="J70" s="7" t="str">
        <v>未明确</v>
      </c>
      <c r="K70" s="7" t="str">
        <v>未明确</v>
      </c>
      <c r="L70" s="7" t="str">
        <v>摔杯后普通杯破碎；碎片范围与持续待分镜；开始/结束分场未提供</v>
      </c>
      <c r="M70" s="7" t="str">
        <v>用户精简清单 T6R007</v>
      </c>
      <c r="N70" s="7" t="str">
        <v>张阎王家；沙发、茶桌、普通茶杯；摔杯动作的破碎状态随镜头生成</v>
      </c>
      <c r="O70" s="7" t="str">
        <v>原文明示</v>
      </c>
      <c r="P70" s="7" t="str">
        <v>不适用</v>
      </c>
      <c r="Q70" s="7" t="str">
        <v>需原剧分场复核，清单不能证明完整性</v>
      </c>
      <c r="R70" s="7" t="str"/>
      <c r="S70" s="7" t="str"/>
      <c r="T70" s="7" t="str">
        <v>有效</v>
      </c>
      <c r="U70" s="7" t="str"/>
    </row>
    <row r="71" ht="55" customHeight="1">
      <c r="A71" s="7" t="str">
        <v>USE-0067</v>
      </c>
      <c r="B71" s="7" t="str">
        <v>未提供分场｜具体集场未明确</v>
      </c>
      <c r="C71" s="8" t="n">
        <v>67</v>
      </c>
      <c r="D71" s="9" t="str">
        <v>LOC-0017</v>
      </c>
      <c r="E71" s="9" t="str">
        <v>LCV-0043</v>
      </c>
      <c r="F71" s="7" t="str"/>
      <c r="G71" s="7" t="str">
        <v>待确认</v>
      </c>
      <c r="H71" s="7" t="str">
        <v>未明确</v>
      </c>
      <c r="I71" s="7" t="str">
        <v>未明确</v>
      </c>
      <c r="J71" s="7" t="str">
        <v>未明确</v>
      </c>
      <c r="K71" s="7" t="str">
        <v>未明确</v>
      </c>
      <c r="L71" s="7" t="str">
        <v>候选：按原剧确认被击碎的大型部件与破损范围，不认定所有部件都破坏；开始/结束分场未提供</v>
      </c>
      <c r="M71" s="7" t="str">
        <v>用户精简清单 T6R009</v>
      </c>
      <c r="N71" s="7" t="str">
        <v>烂尾楼/工厂；钢筋、废料、旧机器、水泥柱；可被击碎的大型物件须建立状态变化</v>
      </c>
      <c r="O71" s="7" t="str">
        <v>原文明示</v>
      </c>
      <c r="P71" s="7" t="str">
        <v>不适用</v>
      </c>
      <c r="Q71" s="7" t="str">
        <v>需原剧分场复核，清单不能证明完整性</v>
      </c>
      <c r="R71" s="7" t="str"/>
      <c r="S71" s="7" t="str"/>
      <c r="T71" s="7" t="str">
        <v>有效</v>
      </c>
      <c r="U71" s="7" t="str"/>
    </row>
    <row r="72" ht="55" customHeight="1">
      <c r="A72" s="7" t="str">
        <v>USE-0068</v>
      </c>
      <c r="B72" s="7" t="str">
        <v>未提供分场｜具体集场未明确</v>
      </c>
      <c r="C72" s="8" t="n">
        <v>68</v>
      </c>
      <c r="D72" s="9" t="str">
        <v>LOC-0020</v>
      </c>
      <c r="E72" s="9" t="str">
        <v>LCV-0044</v>
      </c>
      <c r="F72" s="7" t="str"/>
      <c r="G72" s="7" t="str">
        <v>待确认</v>
      </c>
      <c r="H72" s="7" t="str">
        <v>未明确</v>
      </c>
      <c r="I72" s="7" t="str">
        <v>未明确</v>
      </c>
      <c r="J72" s="7" t="str">
        <v>未明确</v>
      </c>
      <c r="K72" s="7" t="str">
        <v>未明确</v>
      </c>
      <c r="L72" s="7" t="str">
        <v>候选：按原剧确认被击碎的大型部件与破损范围，不认定所有部件都破坏；开始/结束分场未提供</v>
      </c>
      <c r="M72" s="7" t="str">
        <v>用户精简清单 T6R009</v>
      </c>
      <c r="N72" s="7" t="str">
        <v>烂尾楼/工厂；钢筋、废料、旧机器、水泥柱；可被击碎的大型物件须建立状态变化</v>
      </c>
      <c r="O72" s="7" t="str">
        <v>原文明示</v>
      </c>
      <c r="P72" s="7" t="str">
        <v>不适用</v>
      </c>
      <c r="Q72" s="7" t="str">
        <v>需原剧分场复核，清单不能证明完整性</v>
      </c>
      <c r="R72" s="7" t="str"/>
      <c r="S72" s="7" t="str"/>
      <c r="T72" s="7" t="str">
        <v>有效</v>
      </c>
      <c r="U72" s="7" t="str"/>
    </row>
    <row r="73" ht="85" customHeight="1">
      <c r="A73" s="7" t="str">
        <v>USE-0069</v>
      </c>
      <c r="B73" s="7" t="str">
        <v>未提供分场｜第1集提及，实体出现集未明</v>
      </c>
      <c r="C73" s="8" t="n">
        <v>69</v>
      </c>
      <c r="D73" s="9" t="str">
        <v>PRP-0001</v>
      </c>
      <c r="E73" s="7" t="str"/>
      <c r="F73" s="7" t="str"/>
      <c r="G73" s="7" t="str">
        <v>提及</v>
      </c>
      <c r="H73" s="7" t="str">
        <v>未明确</v>
      </c>
      <c r="I73" s="7" t="str">
        <v>未明确</v>
      </c>
      <c r="J73" s="7" t="str">
        <v>未明确</v>
      </c>
      <c r="K73" s="7" t="str">
        <v>未明确</v>
      </c>
      <c r="L73" s="7" t="str">
        <v>区分历史实物与苏小菲身体融合/能量表现，不默认可取出玉佩</v>
      </c>
      <c r="M73" s="7" t="str">
        <v>用户精简清单 T8R002</v>
      </c>
      <c r="N73" s="7" t="str">
        <v>P01 西王母玉（阴/阳）；第1集提及；必须独立；阴玉与苏小菲身体融合；阳玉关联江辰。分实物历史状态和身体能量表现，不默认是可随手取出的玉佩。</v>
      </c>
      <c r="O73" s="7" t="str">
        <v>原文明示</v>
      </c>
      <c r="P73" s="7" t="str">
        <v>不适用</v>
      </c>
      <c r="Q73" s="7" t="str">
        <v>需原剧分场复核，清单不能证明完整性</v>
      </c>
      <c r="R73" s="7" t="str"/>
      <c r="S73" s="7" t="str"/>
      <c r="T73" s="7" t="str">
        <v>有效</v>
      </c>
      <c r="U73" s="7" t="str"/>
    </row>
    <row r="74" ht="85" customHeight="1">
      <c r="A74" s="7" t="str">
        <v>USE-0070</v>
      </c>
      <c r="B74" s="7" t="str">
        <v>未提供分场｜第1集提及，实体出现集未明</v>
      </c>
      <c r="C74" s="8" t="n">
        <v>70</v>
      </c>
      <c r="D74" s="9" t="str">
        <v>PRP-0002</v>
      </c>
      <c r="E74" s="7" t="str"/>
      <c r="F74" s="7" t="str"/>
      <c r="G74" s="7" t="str">
        <v>提及</v>
      </c>
      <c r="H74" s="7" t="str">
        <v>未明确</v>
      </c>
      <c r="I74" s="7" t="str">
        <v>未明确</v>
      </c>
      <c r="J74" s="7" t="str">
        <v>未明确</v>
      </c>
      <c r="K74" s="7" t="str">
        <v>未明确</v>
      </c>
      <c r="L74" s="7" t="str">
        <v>与江辰关联，是否融合及何时实体出现未明</v>
      </c>
      <c r="M74" s="7" t="str">
        <v>用户精简清单 T8R002</v>
      </c>
      <c r="N74" s="7" t="str">
        <v>P01 西王母玉（阴/阳）；第1集提及；必须独立；阴玉与苏小菲身体融合；阳玉关联江辰。分实物历史状态和身体能量表现，不默认是可随手取出的玉佩。</v>
      </c>
      <c r="O74" s="7" t="str">
        <v>原文明示</v>
      </c>
      <c r="P74" s="7" t="str">
        <v>不适用</v>
      </c>
      <c r="Q74" s="7" t="str">
        <v>需原剧分场复核，清单不能证明完整性</v>
      </c>
      <c r="R74" s="7" t="str"/>
      <c r="S74" s="7" t="str"/>
      <c r="T74" s="7" t="str">
        <v>有效</v>
      </c>
      <c r="U74" s="7" t="str"/>
    </row>
    <row r="75" ht="55" customHeight="1">
      <c r="A75" s="7" t="str">
        <v>USE-0071</v>
      </c>
      <c r="B75" s="7" t="str">
        <v>未提供分场｜第1集</v>
      </c>
      <c r="C75" s="8" t="n">
        <v>71</v>
      </c>
      <c r="D75" s="9" t="str">
        <v>PRP-0003</v>
      </c>
      <c r="E75" s="7" t="str"/>
      <c r="F75" s="7" t="str"/>
      <c r="G75" s="7" t="str">
        <v>待确认</v>
      </c>
      <c r="H75" s="7" t="str">
        <v>未明确</v>
      </c>
      <c r="I75" s="7" t="str">
        <v>未明确</v>
      </c>
      <c r="J75" s="7" t="str">
        <v>未明确</v>
      </c>
      <c r="K75" s="7" t="str">
        <v>未明确</v>
      </c>
      <c r="L75" s="7" t="str">
        <v>佩戴/侧面/摘下，江辰脸型不变</v>
      </c>
      <c r="M75" s="7" t="str">
        <v>用户精简清单 T8R003</v>
      </c>
      <c r="N75" s="7" t="str">
        <v>P02 孤狼银色半面具；第1集；必须独立；佩戴、侧面、摘下面具，江辰脸型不变。</v>
      </c>
      <c r="O75" s="7" t="str">
        <v>原文明示</v>
      </c>
      <c r="P75" s="7" t="str">
        <v>不适用</v>
      </c>
      <c r="Q75" s="7" t="str">
        <v>需原剧分场复核，清单不能证明完整性</v>
      </c>
      <c r="R75" s="7" t="str"/>
      <c r="S75" s="7" t="str"/>
      <c r="T75" s="7" t="str">
        <v>有效</v>
      </c>
      <c r="U75" s="7" t="str"/>
    </row>
    <row r="76" ht="70" customHeight="1">
      <c r="A76" s="7" t="str">
        <v>USE-0072</v>
      </c>
      <c r="B76" s="7" t="str">
        <v>未提供分场｜第47集</v>
      </c>
      <c r="C76" s="8" t="n">
        <v>72</v>
      </c>
      <c r="D76" s="9" t="str">
        <v>PRP-0004</v>
      </c>
      <c r="E76" s="7" t="str"/>
      <c r="F76" s="7" t="str"/>
      <c r="G76" s="7" t="str">
        <v>待确认</v>
      </c>
      <c r="H76" s="7" t="str">
        <v>未明确</v>
      </c>
      <c r="I76" s="7" t="str">
        <v>未明确</v>
      </c>
      <c r="J76" s="7" t="str">
        <v>未明确</v>
      </c>
      <c r="K76" s="7" t="str">
        <v>未明确</v>
      </c>
      <c r="L76" s="7" t="str">
        <v>实物与能量共鸣分别管理</v>
      </c>
      <c r="M76" s="7" t="str">
        <v>用户精简清单 T8R004</v>
      </c>
      <c r="N76" s="7" t="str">
        <v>P03 昆仑琉璃灯＋玉盒；第47集；必须独立；碧绿色、鸡蛋大小的琉璃灯；玉盒作配套容器；另做能量/共鸣效果。</v>
      </c>
      <c r="O76" s="7" t="str">
        <v>原文明示</v>
      </c>
      <c r="P76" s="7" t="str">
        <v>不适用</v>
      </c>
      <c r="Q76" s="7" t="str">
        <v>需原剧分场复核，清单不能证明完整性</v>
      </c>
      <c r="R76" s="7" t="str"/>
      <c r="S76" s="7" t="str"/>
      <c r="T76" s="7" t="str">
        <v>有效</v>
      </c>
      <c r="U76" s="7" t="str"/>
    </row>
    <row r="77" ht="70" customHeight="1">
      <c r="A77" s="7" t="str">
        <v>USE-0073</v>
      </c>
      <c r="B77" s="7" t="str">
        <v>未提供分场｜第47集</v>
      </c>
      <c r="C77" s="8" t="n">
        <v>73</v>
      </c>
      <c r="D77" s="9" t="str">
        <v>PRP-0005</v>
      </c>
      <c r="E77" s="7" t="str"/>
      <c r="F77" s="7" t="str"/>
      <c r="G77" s="7" t="str">
        <v>待确认</v>
      </c>
      <c r="H77" s="7" t="str">
        <v>未明确</v>
      </c>
      <c r="I77" s="7" t="str">
        <v>未明确</v>
      </c>
      <c r="J77" s="7" t="str">
        <v>未明确</v>
      </c>
      <c r="K77" s="7" t="str">
        <v>未明确</v>
      </c>
      <c r="L77" s="7" t="str">
        <v>与灯的容纳关系待核，不和灯合成一件</v>
      </c>
      <c r="M77" s="7" t="str">
        <v>用户精简清单 T8R004</v>
      </c>
      <c r="N77" s="7" t="str">
        <v>P03 昆仑琉璃灯＋玉盒；第47集；必须独立；碧绿色、鸡蛋大小的琉璃灯；玉盒作配套容器；另做能量/共鸣效果。</v>
      </c>
      <c r="O77" s="7" t="str">
        <v>原文明示</v>
      </c>
      <c r="P77" s="7" t="str">
        <v>不适用</v>
      </c>
      <c r="Q77" s="7" t="str">
        <v>需原剧分场复核，清单不能证明完整性</v>
      </c>
      <c r="R77" s="7" t="str"/>
      <c r="S77" s="7" t="str"/>
      <c r="T77" s="7" t="str">
        <v>有效</v>
      </c>
      <c r="U77" s="7" t="str"/>
    </row>
    <row r="78" ht="55" customHeight="1">
      <c r="A78" s="7" t="str">
        <v>USE-0074</v>
      </c>
      <c r="B78" s="7" t="str">
        <v>未提供分场｜第39集提及</v>
      </c>
      <c r="C78" s="8" t="n">
        <v>74</v>
      </c>
      <c r="D78" s="9" t="str">
        <v>PRP-0006</v>
      </c>
      <c r="E78" s="7" t="str"/>
      <c r="F78" s="7" t="str"/>
      <c r="G78" s="7" t="str">
        <v>提及</v>
      </c>
      <c r="H78" s="7" t="str">
        <v>未明确</v>
      </c>
      <c r="I78" s="7" t="str">
        <v>未明确</v>
      </c>
      <c r="J78" s="7" t="str">
        <v>未明确</v>
      </c>
      <c r="K78" s="7" t="str">
        <v>未明确</v>
      </c>
      <c r="L78" s="7" t="str">
        <v>与至尊令区分；实体首次出现未核</v>
      </c>
      <c r="M78" s="7" t="str">
        <v>用户精简清单 T8R005</v>
      </c>
      <c r="N78" s="7" t="str">
        <v>P04 裁决令；第39集提及；必须独立；与至尊令区分造型，固定符号/材质。</v>
      </c>
      <c r="O78" s="7" t="str">
        <v>原文明示</v>
      </c>
      <c r="P78" s="7" t="str">
        <v>不适用</v>
      </c>
      <c r="Q78" s="7" t="str">
        <v>需原剧分场复核，清单不能证明完整性</v>
      </c>
      <c r="R78" s="7" t="str"/>
      <c r="S78" s="7" t="str"/>
      <c r="T78" s="7" t="str">
        <v>有效</v>
      </c>
      <c r="U78" s="7" t="str"/>
    </row>
    <row r="79" ht="55" customHeight="1">
      <c r="A79" s="7" t="str">
        <v>USE-0075</v>
      </c>
      <c r="B79" s="7" t="str">
        <v>未提供分场｜第54集关联</v>
      </c>
      <c r="C79" s="8" t="n">
        <v>75</v>
      </c>
      <c r="D79" s="9" t="str">
        <v>PRP-0007</v>
      </c>
      <c r="E79" s="7" t="str"/>
      <c r="F79" s="7" t="str"/>
      <c r="G79" s="7" t="str">
        <v>待确认</v>
      </c>
      <c r="H79" s="7" t="str">
        <v>未明确</v>
      </c>
      <c r="I79" s="7" t="str">
        <v>未明确</v>
      </c>
      <c r="J79" s="7" t="str">
        <v>未明确</v>
      </c>
      <c r="K79" s="7" t="str">
        <v>未明确</v>
      </c>
      <c r="L79" s="7" t="str">
        <v>真令与假令分实物实例；哪枚破碎待核</v>
      </c>
      <c r="M79" s="7" t="str">
        <v>用户精简清单 T8R006</v>
      </c>
      <c r="N79" s="7" t="str">
        <v>P05 至尊令；第54集；必须独立；真令、假令、破碎状态；关键身份反转。</v>
      </c>
      <c r="O79" s="7" t="str">
        <v>原文明示</v>
      </c>
      <c r="P79" s="7" t="str">
        <v>不适用</v>
      </c>
      <c r="Q79" s="7" t="str">
        <v>需原剧分场复核，清单不能证明完整性</v>
      </c>
      <c r="R79" s="7" t="str"/>
      <c r="S79" s="7" t="str"/>
      <c r="T79" s="7" t="str">
        <v>有效</v>
      </c>
      <c r="U79" s="7" t="str"/>
    </row>
    <row r="80" ht="55" customHeight="1">
      <c r="A80" s="7" t="str">
        <v>USE-0076</v>
      </c>
      <c r="B80" s="7" t="str">
        <v>未提供分场｜第54集关联</v>
      </c>
      <c r="C80" s="8" t="n">
        <v>76</v>
      </c>
      <c r="D80" s="9" t="str">
        <v>PRP-0008</v>
      </c>
      <c r="E80" s="7" t="str"/>
      <c r="F80" s="7" t="str"/>
      <c r="G80" s="7" t="str">
        <v>待确认</v>
      </c>
      <c r="H80" s="7" t="str">
        <v>未明确</v>
      </c>
      <c r="I80" s="7" t="str">
        <v>未明确</v>
      </c>
      <c r="J80" s="7" t="str">
        <v>未明确</v>
      </c>
      <c r="K80" s="7" t="str">
        <v>未明确</v>
      </c>
      <c r="L80" s="7" t="str">
        <v>与真令是不同实物；是否同款造型待核</v>
      </c>
      <c r="M80" s="7" t="str">
        <v>用户精简清单 T8R006</v>
      </c>
      <c r="N80" s="7" t="str">
        <v>P05 至尊令；第54集；必须独立；真令、假令、破碎状态；关键身份反转。</v>
      </c>
      <c r="O80" s="7" t="str">
        <v>原文明示</v>
      </c>
      <c r="P80" s="7" t="str">
        <v>不适用</v>
      </c>
      <c r="Q80" s="7" t="str">
        <v>需原剧分场复核，清单不能证明完整性</v>
      </c>
      <c r="R80" s="7" t="str"/>
      <c r="S80" s="7" t="str"/>
      <c r="T80" s="7" t="str">
        <v>有效</v>
      </c>
      <c r="U80" s="7" t="str"/>
    </row>
    <row r="81" ht="55" customHeight="1">
      <c r="A81" s="7" t="str">
        <v>USE-0077</v>
      </c>
      <c r="B81" s="7" t="str">
        <v>未提供分场｜第19集</v>
      </c>
      <c r="C81" s="8" t="n">
        <v>77</v>
      </c>
      <c r="D81" s="9" t="str">
        <v>PRP-0009</v>
      </c>
      <c r="E81" s="7" t="str"/>
      <c r="F81" s="7" t="str"/>
      <c r="G81" s="7" t="str">
        <v>待确认</v>
      </c>
      <c r="H81" s="7" t="str">
        <v>未明确</v>
      </c>
      <c r="I81" s="7" t="str">
        <v>未明确</v>
      </c>
      <c r="J81" s="7" t="str">
        <v>未明确</v>
      </c>
      <c r="K81" s="7" t="str">
        <v>未明确</v>
      </c>
      <c r="L81" s="7" t="str">
        <v>耳上→摘下→手中攻击→完好→戴回；数量/左右未明</v>
      </c>
      <c r="M81" s="7" t="str">
        <v>用户精简清单 T8R007</v>
      </c>
      <c r="N81" s="7" t="str">
        <v>P06 苏小菲耳环；第19集；必须独立；耳上→摘下→手中攻击→完好→重新戴回，跨镜外观一致。</v>
      </c>
      <c r="O81" s="7" t="str">
        <v>原文明示</v>
      </c>
      <c r="P81" s="7" t="str">
        <v>不适用</v>
      </c>
      <c r="Q81" s="7" t="str">
        <v>需原剧分场复核，清单不能证明完整性</v>
      </c>
      <c r="R81" s="7" t="str"/>
      <c r="S81" s="7" t="str"/>
      <c r="T81" s="7" t="str">
        <v>有效</v>
      </c>
      <c r="U81" s="7" t="str"/>
    </row>
    <row r="82" ht="55" customHeight="1">
      <c r="A82" s="7" t="str">
        <v>USE-0078</v>
      </c>
      <c r="B82" s="7" t="str">
        <v>未提供分场｜第19集</v>
      </c>
      <c r="C82" s="8" t="n">
        <v>78</v>
      </c>
      <c r="D82" s="9" t="str">
        <v>PRP-0010</v>
      </c>
      <c r="E82" s="7" t="str"/>
      <c r="F82" s="7" t="str"/>
      <c r="G82" s="7" t="str">
        <v>待确认</v>
      </c>
      <c r="H82" s="7" t="str">
        <v>未明确</v>
      </c>
      <c r="I82" s="7" t="str">
        <v>未明确</v>
      </c>
      <c r="J82" s="7" t="str">
        <v>未明确</v>
      </c>
      <c r="K82" s="7" t="str">
        <v>未明确</v>
      </c>
      <c r="L82" s="7" t="str">
        <v>完整→受击→裂纹→破裂，匹配耳环尺寸与方向</v>
      </c>
      <c r="M82" s="7" t="str">
        <v>用户精简清单 T8R008</v>
      </c>
      <c r="N82" s="7" t="str">
        <v>P07 周天钢铁拳套；第19集；必须独立；完整、受击、裂纹、破裂；需与耳环尺寸和攻击方向匹配。</v>
      </c>
      <c r="O82" s="7" t="str">
        <v>原文明示</v>
      </c>
      <c r="P82" s="7" t="str">
        <v>不适用</v>
      </c>
      <c r="Q82" s="7" t="str">
        <v>需原剧分场复核，清单不能证明完整性</v>
      </c>
      <c r="R82" s="7" t="str"/>
      <c r="S82" s="7" t="str"/>
      <c r="T82" s="7" t="str">
        <v>有效</v>
      </c>
      <c r="U82" s="7" t="str"/>
    </row>
    <row r="83" ht="55" customHeight="1">
      <c r="A83" s="7" t="str">
        <v>USE-0079</v>
      </c>
      <c r="B83" s="7" t="str">
        <v>未提供分场｜第9集</v>
      </c>
      <c r="C83" s="8" t="n">
        <v>79</v>
      </c>
      <c r="D83" s="9" t="str">
        <v>PRP-0011</v>
      </c>
      <c r="E83" s="7" t="str"/>
      <c r="F83" s="7" t="str"/>
      <c r="G83" s="7" t="str">
        <v>待确认</v>
      </c>
      <c r="H83" s="7" t="str">
        <v>未明确</v>
      </c>
      <c r="I83" s="7" t="str">
        <v>未明确</v>
      </c>
      <c r="J83" s="7" t="str">
        <v>未明确</v>
      </c>
      <c r="K83" s="7" t="str">
        <v>未明确</v>
      </c>
      <c r="L83" s="7" t="str">
        <v>固定左右手与接触动作；单只/双只未明</v>
      </c>
      <c r="M83" s="7" t="str">
        <v>用户精简清单 T8R009</v>
      </c>
      <c r="N83" s="7" t="str">
        <v>P08 血手红手套；第9集；必须独立；标志性血红色手套，固定左右手与接触动作。</v>
      </c>
      <c r="O83" s="7" t="str">
        <v>原文明示</v>
      </c>
      <c r="P83" s="7" t="str">
        <v>不适用</v>
      </c>
      <c r="Q83" s="7" t="str">
        <v>需原剧分场复核，清单不能证明完整性</v>
      </c>
      <c r="R83" s="7" t="str"/>
      <c r="S83" s="7" t="str"/>
      <c r="T83" s="7" t="str">
        <v>有效</v>
      </c>
      <c r="U83" s="7" t="str"/>
    </row>
    <row r="84" ht="55" customHeight="1">
      <c r="A84" s="7" t="str">
        <v>USE-0080</v>
      </c>
      <c r="B84" s="7" t="str">
        <v>未提供分场｜第58集</v>
      </c>
      <c r="C84" s="8" t="n">
        <v>80</v>
      </c>
      <c r="D84" s="9" t="str">
        <v>PRP-0012</v>
      </c>
      <c r="E84" s="7" t="str"/>
      <c r="F84" s="7" t="str"/>
      <c r="G84" s="7" t="str">
        <v>待确认</v>
      </c>
      <c r="H84" s="7" t="str">
        <v>未明确</v>
      </c>
      <c r="I84" s="7" t="str">
        <v>未明确</v>
      </c>
      <c r="J84" s="7" t="str">
        <v>未明确</v>
      </c>
      <c r="K84" s="7" t="str">
        <v>未明确</v>
      </c>
      <c r="L84" s="7" t="str">
        <v>镜头数量3把/9把；黑气→金光→回射，不能直接当总数9件</v>
      </c>
      <c r="M84" s="7" t="str">
        <v>用户精简清单 T8R010</v>
      </c>
      <c r="N84" s="7" t="str">
        <v>P09 银女飞刀；第58集；必须独立；三把/九把，黑气附着、金光转化与回射。</v>
      </c>
      <c r="O84" s="7" t="str">
        <v>原文明示</v>
      </c>
      <c r="P84" s="7" t="str">
        <v>不适用</v>
      </c>
      <c r="Q84" s="7" t="str">
        <v>需原剧分场复核，清单不能证明完整性</v>
      </c>
      <c r="R84" s="7" t="str"/>
      <c r="S84" s="7" t="str"/>
      <c r="T84" s="7" t="str">
        <v>有效</v>
      </c>
      <c r="U84" s="7" t="str"/>
    </row>
    <row r="85" ht="55" customHeight="1">
      <c r="A85" s="7" t="str">
        <v>USE-0081</v>
      </c>
      <c r="B85" s="7" t="str">
        <v>未提供分场｜第4集</v>
      </c>
      <c r="C85" s="8" t="n">
        <v>81</v>
      </c>
      <c r="D85" s="9" t="str">
        <v>PRP-0013</v>
      </c>
      <c r="E85" s="7" t="str"/>
      <c r="F85" s="7" t="str"/>
      <c r="G85" s="7" t="str">
        <v>待确认</v>
      </c>
      <c r="H85" s="7" t="str">
        <v>未明确</v>
      </c>
      <c r="I85" s="7" t="str">
        <v>未明确</v>
      </c>
      <c r="J85" s="7" t="str">
        <v>未明确</v>
      </c>
      <c r="K85" s="7" t="str">
        <v>未明确</v>
      </c>
      <c r="L85" s="7" t="str">
        <v>同型号悬停、飞行、监控镜头连续</v>
      </c>
      <c r="M85" s="7" t="str">
        <v>用户精简清单 T8R011</v>
      </c>
      <c r="N85" s="7" t="str">
        <v>P10 无人机；第4集；建议独立；固定同一型号，悬停、飞行、监控镜头一致。</v>
      </c>
      <c r="O85" s="7" t="str">
        <v>原文明示</v>
      </c>
      <c r="P85" s="7" t="str">
        <v>不适用</v>
      </c>
      <c r="Q85" s="7" t="str">
        <v>需原剧分场复核，清单不能证明完整性</v>
      </c>
      <c r="R85" s="7" t="str"/>
      <c r="S85" s="7" t="str"/>
      <c r="T85" s="7" t="str">
        <v>有效</v>
      </c>
      <c r="U85" s="7" t="str"/>
    </row>
    <row r="86" ht="55" customHeight="1">
      <c r="A86" s="7" t="str">
        <v>USE-0082</v>
      </c>
      <c r="B86" s="7" t="str">
        <v>未提供分场｜第2集</v>
      </c>
      <c r="C86" s="8" t="n">
        <v>82</v>
      </c>
      <c r="D86" s="9" t="str">
        <v>PRP-0014</v>
      </c>
      <c r="E86" s="7" t="str"/>
      <c r="F86" s="7" t="str"/>
      <c r="G86" s="7" t="str">
        <v>待确认</v>
      </c>
      <c r="H86" s="7" t="str">
        <v>未明确</v>
      </c>
      <c r="I86" s="7" t="str">
        <v>未明确</v>
      </c>
      <c r="J86" s="7" t="str">
        <v>未明确</v>
      </c>
      <c r="K86" s="7" t="str">
        <v>未明确</v>
      </c>
      <c r="L86" s="7" t="str">
        <v>佩戴江辰→摘下→递还</v>
      </c>
      <c r="M86" s="7" t="str">
        <v>用户精简清单 T8R012</v>
      </c>
      <c r="N86" s="7" t="str">
        <v>P11 测谎仪；第2集；建议独立；佩戴在江辰身上、指示器、摘下递还，装置逻辑连续。</v>
      </c>
      <c r="O86" s="7" t="str">
        <v>原文明示</v>
      </c>
      <c r="P86" s="7" t="str">
        <v>不适用</v>
      </c>
      <c r="Q86" s="7" t="str">
        <v>需原剧分场复核，清单不能证明完整性</v>
      </c>
      <c r="R86" s="7" t="str"/>
      <c r="S86" s="7" t="str"/>
      <c r="T86" s="7" t="str">
        <v>有效</v>
      </c>
      <c r="U86" s="7" t="str"/>
    </row>
    <row r="87" ht="55" customHeight="1">
      <c r="A87" s="7" t="str">
        <v>USE-0083</v>
      </c>
      <c r="B87" s="7" t="str">
        <v>未提供分场｜第33集</v>
      </c>
      <c r="C87" s="8" t="n">
        <v>83</v>
      </c>
      <c r="D87" s="9" t="str">
        <v>PRP-0015</v>
      </c>
      <c r="E87" s="7" t="str"/>
      <c r="F87" s="7" t="str"/>
      <c r="G87" s="7" t="str">
        <v>待确认</v>
      </c>
      <c r="H87" s="7" t="str">
        <v>未明确</v>
      </c>
      <c r="I87" s="7" t="str">
        <v>未明确</v>
      </c>
      <c r="J87" s="7" t="str">
        <v>未明确</v>
      </c>
      <c r="K87" s="7" t="str">
        <v>未明确</v>
      </c>
      <c r="L87" s="7" t="str">
        <v>飞入→接住→展开→阅读；文字待原剧</v>
      </c>
      <c r="M87" s="7" t="str">
        <v>用户精简清单 T8R013</v>
      </c>
      <c r="N87" s="7" t="str">
        <v>P12 烫金请柬；第33集；建议独立；飞入、接住、展开、阅读，版式和文字固定。</v>
      </c>
      <c r="O87" s="7" t="str">
        <v>原文明示</v>
      </c>
      <c r="P87" s="7" t="str">
        <v>不适用</v>
      </c>
      <c r="Q87" s="7" t="str">
        <v>需原剧分场复核，清单不能证明完整性</v>
      </c>
      <c r="R87" s="7" t="str"/>
      <c r="S87" s="7" t="str"/>
      <c r="T87" s="7" t="str">
        <v>有效</v>
      </c>
      <c r="U87" s="7" t="str"/>
    </row>
    <row r="88" ht="55" customHeight="1">
      <c r="A88" s="7" t="str">
        <v>USE-0084</v>
      </c>
      <c r="B88" s="7" t="str">
        <v>未提供分场｜多集未逐条列明</v>
      </c>
      <c r="C88" s="8" t="n">
        <v>84</v>
      </c>
      <c r="D88" s="9" t="str">
        <v>PRP-0016</v>
      </c>
      <c r="E88" s="7" t="str"/>
      <c r="F88" s="7" t="str"/>
      <c r="G88" s="7" t="str">
        <v>待确认</v>
      </c>
      <c r="H88" s="7" t="str">
        <v>未明确</v>
      </c>
      <c r="I88" s="7" t="str">
        <v>未明确</v>
      </c>
      <c r="J88" s="7" t="str">
        <v>未明确</v>
      </c>
      <c r="K88" s="7" t="str">
        <v>未明确</v>
      </c>
      <c r="L88" s="7" t="str">
        <v>关联手机；各条消息应逐集拆分，不能编正文</v>
      </c>
      <c r="M88" s="7" t="str">
        <v>用户精简清单 T8R014</v>
      </c>
      <c r="N88" s="7" t="str">
        <v>P13 手机关键屏幕；多集；必须锁定；短信、IP、威胁、情报等准确内容；屏幕可采用后期合成。</v>
      </c>
      <c r="O88" s="7" t="str">
        <v>原文明示</v>
      </c>
      <c r="P88" s="7" t="str">
        <v>不适用</v>
      </c>
      <c r="Q88" s="7" t="str">
        <v>需原剧分场复核，清单不能证明完整性</v>
      </c>
      <c r="R88" s="7" t="str"/>
      <c r="S88" s="7" t="str"/>
      <c r="T88" s="7" t="str">
        <v>有效</v>
      </c>
      <c r="U88" s="7" t="str"/>
    </row>
    <row r="89" ht="55" customHeight="1">
      <c r="A89" s="7" t="str">
        <v>USE-0085</v>
      </c>
      <c r="B89" s="7" t="str">
        <v>未提供分场｜第14集</v>
      </c>
      <c r="C89" s="8" t="n">
        <v>85</v>
      </c>
      <c r="D89" s="9" t="str">
        <v>PRP-0017</v>
      </c>
      <c r="E89" s="7" t="str"/>
      <c r="F89" s="7" t="str"/>
      <c r="G89" s="7" t="str">
        <v>待确认</v>
      </c>
      <c r="H89" s="7" t="str">
        <v>未明确</v>
      </c>
      <c r="I89" s="7" t="str">
        <v>未明确</v>
      </c>
      <c r="J89" s="7" t="str">
        <v>未明确</v>
      </c>
      <c r="K89" s="7" t="str">
        <v>未明确</v>
      </c>
      <c r="L89" s="7" t="str">
        <v>接口与屏幕固定；数据线单列</v>
      </c>
      <c r="M89" s="7" t="str">
        <v>用户精简清单 T8R015</v>
      </c>
      <c r="N89" s="7" t="str">
        <v>P14 微型计算机；第14集；建议独立；手掌大小、与手机连接，固定数据线接口和屏幕。</v>
      </c>
      <c r="O89" s="7" t="str">
        <v>原文明示</v>
      </c>
      <c r="P89" s="7" t="str">
        <v>不适用</v>
      </c>
      <c r="Q89" s="7" t="str">
        <v>需原剧分场复核，清单不能证明完整性</v>
      </c>
      <c r="R89" s="7" t="str"/>
      <c r="S89" s="7" t="str"/>
      <c r="T89" s="7" t="str">
        <v>有效</v>
      </c>
      <c r="U89" s="7" t="str"/>
    </row>
    <row r="90" ht="55" customHeight="1">
      <c r="A90" s="7" t="str">
        <v>USE-0086</v>
      </c>
      <c r="B90" s="7" t="str">
        <v>未提供分场｜第6集起，具体见第6—7/24—25集</v>
      </c>
      <c r="C90" s="8" t="n">
        <v>86</v>
      </c>
      <c r="D90" s="9" t="str">
        <v>PRP-0018</v>
      </c>
      <c r="E90" s="7" t="str"/>
      <c r="F90" s="7" t="str"/>
      <c r="G90" s="7" t="str">
        <v>待确认</v>
      </c>
      <c r="H90" s="7" t="str">
        <v>未明确</v>
      </c>
      <c r="I90" s="7" t="str">
        <v>未明确</v>
      </c>
      <c r="J90" s="7" t="str">
        <v>未明确</v>
      </c>
      <c r="K90" s="7" t="str">
        <v>未明确</v>
      </c>
      <c r="L90" s="7" t="str">
        <v>按原剧/镜头补充；不因临时生成而省略需求登记</v>
      </c>
      <c r="M90" s="7" t="str">
        <v>用户精简清单 T8R016</v>
      </c>
      <c r="N90" s="7" t="str">
        <v>P15 特殊武器组；第6集起；按镜头；匕首、铁棍、弩箭等分属不同武器；关键近景各自统一外观。</v>
      </c>
      <c r="O90" s="7" t="str">
        <v>原文明示</v>
      </c>
      <c r="P90" s="7" t="str">
        <v>不适用</v>
      </c>
      <c r="Q90" s="7" t="str">
        <v>需原剧分场复核，清单不能证明完整性</v>
      </c>
      <c r="R90" s="7" t="str"/>
      <c r="S90" s="7" t="str"/>
      <c r="T90" s="7" t="str">
        <v>有效</v>
      </c>
      <c r="U90" s="7" t="str"/>
    </row>
    <row r="91" ht="55" customHeight="1">
      <c r="A91" s="7" t="str">
        <v>USE-0087</v>
      </c>
      <c r="B91" s="7" t="str">
        <v>未提供分场｜第6集起，具体集场待核</v>
      </c>
      <c r="C91" s="8" t="n">
        <v>87</v>
      </c>
      <c r="D91" s="9" t="str">
        <v>PRP-0019</v>
      </c>
      <c r="E91" s="7" t="str"/>
      <c r="F91" s="7" t="str"/>
      <c r="G91" s="7" t="str">
        <v>待确认</v>
      </c>
      <c r="H91" s="7" t="str">
        <v>未明确</v>
      </c>
      <c r="I91" s="7" t="str">
        <v>未明确</v>
      </c>
      <c r="J91" s="7" t="str">
        <v>未明确</v>
      </c>
      <c r="K91" s="7" t="str">
        <v>未明确</v>
      </c>
      <c r="L91" s="7" t="str">
        <v>按原剧/镜头补充；不因临时生成而省略需求登记</v>
      </c>
      <c r="M91" s="7" t="str">
        <v>用户精简清单 T8R016</v>
      </c>
      <c r="N91" s="7" t="str">
        <v>P15 特殊武器组；第6集起；按镜头；匕首、铁棍、弩箭等分属不同武器；关键近景各自统一外观。</v>
      </c>
      <c r="O91" s="7" t="str">
        <v>原文明示</v>
      </c>
      <c r="P91" s="7" t="str">
        <v>不适用</v>
      </c>
      <c r="Q91" s="7" t="str">
        <v>需原剧分场复核，清单不能证明完整性</v>
      </c>
      <c r="R91" s="7" t="str"/>
      <c r="S91" s="7" t="str"/>
      <c r="T91" s="7" t="str">
        <v>有效</v>
      </c>
      <c r="U91" s="7" t="str"/>
    </row>
    <row r="92" ht="55" customHeight="1">
      <c r="A92" s="7" t="str">
        <v>USE-0088</v>
      </c>
      <c r="B92" s="7" t="str">
        <v>未提供分场｜第23—28集关联，首次未明确</v>
      </c>
      <c r="C92" s="8" t="n">
        <v>88</v>
      </c>
      <c r="D92" s="9" t="str">
        <v>PRP-0020</v>
      </c>
      <c r="E92" s="7" t="str"/>
      <c r="F92" s="7" t="str"/>
      <c r="G92" s="7" t="str">
        <v>待确认</v>
      </c>
      <c r="H92" s="7" t="str">
        <v>未明确</v>
      </c>
      <c r="I92" s="7" t="str">
        <v>未明确</v>
      </c>
      <c r="J92" s="7" t="str">
        <v>未明确</v>
      </c>
      <c r="K92" s="7" t="str">
        <v>未明确</v>
      </c>
      <c r="L92" s="7" t="str">
        <v>按原剧/镜头补充；不因临时生成而省略需求登记</v>
      </c>
      <c r="M92" s="7" t="str">
        <v>用户精简清单 T8R016</v>
      </c>
      <c r="N92" s="7" t="str">
        <v>P15 特殊武器组；第6集起；按镜头；匕首、铁棍、弩箭等分属不同武器；关键近景各自统一外观。</v>
      </c>
      <c r="O92" s="7" t="str">
        <v>原文明示</v>
      </c>
      <c r="P92" s="7" t="str">
        <v>不适用</v>
      </c>
      <c r="Q92" s="7" t="str">
        <v>需原剧分场复核，清单不能证明完整性</v>
      </c>
      <c r="R92" s="7" t="str"/>
      <c r="S92" s="7" t="str"/>
      <c r="T92" s="7" t="str">
        <v>有效</v>
      </c>
      <c r="U92" s="7" t="str"/>
    </row>
    <row r="93" ht="55" customHeight="1">
      <c r="A93" s="7" t="str">
        <v>USE-0089</v>
      </c>
      <c r="B93" s="7" t="str">
        <v>未提供分场｜第2、3、9集等</v>
      </c>
      <c r="C93" s="8" t="n">
        <v>89</v>
      </c>
      <c r="D93" s="9" t="str">
        <v>PRP-0021</v>
      </c>
      <c r="E93" s="7" t="str"/>
      <c r="F93" s="7" t="str"/>
      <c r="G93" s="7" t="str">
        <v>待确认</v>
      </c>
      <c r="H93" s="7" t="str">
        <v>未明确</v>
      </c>
      <c r="I93" s="7" t="str">
        <v>未明确</v>
      </c>
      <c r="J93" s="7" t="str">
        <v>未明确</v>
      </c>
      <c r="K93" s="7" t="str">
        <v>未明确</v>
      </c>
      <c r="L93" s="7" t="str">
        <v>按原剧/镜头补充；不因临时生成而省略需求登记</v>
      </c>
      <c r="M93" s="7" t="str">
        <v>用户精简清单 T7R002</v>
      </c>
      <c r="N93" s="7" t="str">
        <v>棒棒糖；第2、3、9集等；苏小菲人物常规习惯道具，可放入其日常造型；不必单独建模</v>
      </c>
      <c r="O93" s="7" t="str">
        <v>原文明示</v>
      </c>
      <c r="P93" s="7" t="str">
        <v>不适用</v>
      </c>
      <c r="Q93" s="7" t="str">
        <v>需原剧分场复核，清单不能证明完整性</v>
      </c>
      <c r="R93" s="7" t="str"/>
      <c r="S93" s="7" t="str"/>
      <c r="T93" s="7" t="str">
        <v>有效</v>
      </c>
      <c r="U93" s="7" t="str"/>
    </row>
    <row r="94" ht="55" customHeight="1">
      <c r="A94" s="7" t="str">
        <v>USE-0090</v>
      </c>
      <c r="B94" s="7" t="str">
        <v>未提供分场｜第6集</v>
      </c>
      <c r="C94" s="8" t="n">
        <v>90</v>
      </c>
      <c r="D94" s="9" t="str">
        <v>PRP-0022</v>
      </c>
      <c r="E94" s="7" t="str"/>
      <c r="F94" s="7" t="str"/>
      <c r="G94" s="7" t="str">
        <v>待确认</v>
      </c>
      <c r="H94" s="7" t="str">
        <v>未明确</v>
      </c>
      <c r="I94" s="7" t="str">
        <v>未明确</v>
      </c>
      <c r="J94" s="7" t="str">
        <v>未明确</v>
      </c>
      <c r="K94" s="7" t="str">
        <v>未明确</v>
      </c>
      <c r="L94" s="7" t="str">
        <v>按原剧/镜头补充；不因临时生成而省略需求登记</v>
      </c>
      <c r="M94" s="7" t="str">
        <v>用户精简清单 T7R003</v>
      </c>
      <c r="N94" s="7" t="str">
        <v>购物袋；第6集；随江辰拎包动作生成，保持该连续段数量与手持位置</v>
      </c>
      <c r="O94" s="7" t="str">
        <v>原文明示</v>
      </c>
      <c r="P94" s="7" t="str">
        <v>不适用</v>
      </c>
      <c r="Q94" s="7" t="str">
        <v>需原剧分场复核，清单不能证明完整性</v>
      </c>
      <c r="R94" s="7" t="str"/>
      <c r="S94" s="7" t="str"/>
      <c r="T94" s="7" t="str">
        <v>有效</v>
      </c>
      <c r="U94" s="7" t="str"/>
    </row>
    <row r="95" ht="48" customHeight="1">
      <c r="A95" s="7" t="str">
        <v>USE-0091</v>
      </c>
      <c r="B95" s="7" t="str">
        <v>未提供分场｜第6集</v>
      </c>
      <c r="C95" s="8" t="n">
        <v>91</v>
      </c>
      <c r="D95" s="9" t="str">
        <v>PRP-0023</v>
      </c>
      <c r="E95" s="7" t="str"/>
      <c r="F95" s="7" t="str"/>
      <c r="G95" s="7" t="str">
        <v>待确认</v>
      </c>
      <c r="H95" s="7" t="str">
        <v>未明确</v>
      </c>
      <c r="I95" s="7" t="str">
        <v>未明确</v>
      </c>
      <c r="J95" s="7" t="str">
        <v>未明确</v>
      </c>
      <c r="K95" s="7" t="str">
        <v>未明确</v>
      </c>
      <c r="L95" s="7" t="str">
        <v>按原剧/镜头补充；不因临时生成而省略需求登记</v>
      </c>
      <c r="M95" s="7" t="str">
        <v>用户精简清单 T7R004</v>
      </c>
      <c r="N95" s="7" t="str">
        <v>毛巾、冰袋；第6集；随张阎王受伤妆造生成</v>
      </c>
      <c r="O95" s="7" t="str">
        <v>原文明示</v>
      </c>
      <c r="P95" s="7" t="str">
        <v>不适用</v>
      </c>
      <c r="Q95" s="7" t="str">
        <v>需原剧分场复核，清单不能证明完整性</v>
      </c>
      <c r="R95" s="7" t="str"/>
      <c r="S95" s="7" t="str"/>
      <c r="T95" s="7" t="str">
        <v>有效</v>
      </c>
      <c r="U95" s="7" t="str"/>
    </row>
    <row r="96" ht="48" customHeight="1">
      <c r="A96" s="7" t="str">
        <v>USE-0092</v>
      </c>
      <c r="B96" s="7" t="str">
        <v>未提供分场｜第6集</v>
      </c>
      <c r="C96" s="8" t="n">
        <v>92</v>
      </c>
      <c r="D96" s="9" t="str">
        <v>PRP-0024</v>
      </c>
      <c r="E96" s="7" t="str"/>
      <c r="F96" s="7" t="str"/>
      <c r="G96" s="7" t="str">
        <v>待确认</v>
      </c>
      <c r="H96" s="7" t="str">
        <v>未明确</v>
      </c>
      <c r="I96" s="7" t="str">
        <v>未明确</v>
      </c>
      <c r="J96" s="7" t="str">
        <v>未明确</v>
      </c>
      <c r="K96" s="7" t="str">
        <v>未明确</v>
      </c>
      <c r="L96" s="7" t="str">
        <v>按原剧/镜头补充；不因临时生成而省略需求登记</v>
      </c>
      <c r="M96" s="7" t="str">
        <v>用户精简清单 T7R004</v>
      </c>
      <c r="N96" s="7" t="str">
        <v>毛巾、冰袋；第6集；随张阎王受伤妆造生成</v>
      </c>
      <c r="O96" s="7" t="str">
        <v>原文明示</v>
      </c>
      <c r="P96" s="7" t="str">
        <v>不适用</v>
      </c>
      <c r="Q96" s="7" t="str">
        <v>需原剧分场复核，清单不能证明完整性</v>
      </c>
      <c r="R96" s="7" t="str"/>
      <c r="S96" s="7" t="str"/>
      <c r="T96" s="7" t="str">
        <v>有效</v>
      </c>
      <c r="U96" s="7" t="str"/>
    </row>
    <row r="97" ht="48" customHeight="1">
      <c r="A97" s="7" t="str">
        <v>USE-0093</v>
      </c>
      <c r="B97" s="7" t="str">
        <v>未提供分场｜第16—17集</v>
      </c>
      <c r="C97" s="8" t="n">
        <v>93</v>
      </c>
      <c r="D97" s="9" t="str">
        <v>PRP-0025</v>
      </c>
      <c r="E97" s="7" t="str"/>
      <c r="F97" s="7" t="str"/>
      <c r="G97" s="7" t="str">
        <v>待确认</v>
      </c>
      <c r="H97" s="7" t="str">
        <v>未明确</v>
      </c>
      <c r="I97" s="7" t="str">
        <v>未明确</v>
      </c>
      <c r="J97" s="7" t="str">
        <v>未明确</v>
      </c>
      <c r="K97" s="7" t="str">
        <v>未明确</v>
      </c>
      <c r="L97" s="7" t="str">
        <v>按原剧/镜头补充；不因临时生成而省略需求登记</v>
      </c>
      <c r="M97" s="7" t="str">
        <v>用户精简清单 T7R006</v>
      </c>
      <c r="N97" s="7" t="str">
        <v>玫瑰花束；第16—17集；校园表白镜头联动生成，跨镜统一同一束花</v>
      </c>
      <c r="O97" s="7" t="str">
        <v>原文明示</v>
      </c>
      <c r="P97" s="7" t="str">
        <v>不适用</v>
      </c>
      <c r="Q97" s="7" t="str">
        <v>需原剧分场复核，清单不能证明完整性</v>
      </c>
      <c r="R97" s="7" t="str"/>
      <c r="S97" s="7" t="str"/>
      <c r="T97" s="7" t="str">
        <v>有效</v>
      </c>
      <c r="U97" s="7" t="str"/>
    </row>
    <row r="98" ht="48" customHeight="1">
      <c r="A98" s="7" t="str">
        <v>USE-0094</v>
      </c>
      <c r="B98" s="7" t="str">
        <v>未提供分场｜第13集</v>
      </c>
      <c r="C98" s="8" t="n">
        <v>94</v>
      </c>
      <c r="D98" s="9" t="str">
        <v>PRP-0026</v>
      </c>
      <c r="E98" s="7" t="str"/>
      <c r="F98" s="7" t="str"/>
      <c r="G98" s="7" t="str">
        <v>待确认</v>
      </c>
      <c r="H98" s="7" t="str">
        <v>未明确</v>
      </c>
      <c r="I98" s="7" t="str">
        <v>未明确</v>
      </c>
      <c r="J98" s="7" t="str">
        <v>未明确</v>
      </c>
      <c r="K98" s="7" t="str">
        <v>未明确</v>
      </c>
      <c r="L98" s="7" t="str">
        <v>按原剧/镜头补充；不因临时生成而省略需求登记</v>
      </c>
      <c r="M98" s="7" t="str">
        <v>用户精简清单 T7R007</v>
      </c>
      <c r="N98" s="7" t="str">
        <v>水桶；第13集；随泼水动作生成</v>
      </c>
      <c r="O98" s="7" t="str">
        <v>原文明示</v>
      </c>
      <c r="P98" s="7" t="str">
        <v>不适用</v>
      </c>
      <c r="Q98" s="7" t="str">
        <v>需原剧分场复核，清单不能证明完整性</v>
      </c>
      <c r="R98" s="7" t="str"/>
      <c r="S98" s="7" t="str"/>
      <c r="T98" s="7" t="str">
        <v>有效</v>
      </c>
      <c r="U98" s="7" t="str"/>
    </row>
    <row r="99" ht="48" customHeight="1">
      <c r="A99" s="7" t="str">
        <v>USE-0095</v>
      </c>
      <c r="B99" s="7" t="str">
        <v>未提供分场｜第31—32集</v>
      </c>
      <c r="C99" s="8" t="n">
        <v>95</v>
      </c>
      <c r="D99" s="9" t="str">
        <v>PRP-0027</v>
      </c>
      <c r="E99" s="7" t="str"/>
      <c r="F99" s="7" t="str"/>
      <c r="G99" s="7" t="str">
        <v>待确认</v>
      </c>
      <c r="H99" s="7" t="str">
        <v>未明确</v>
      </c>
      <c r="I99" s="7" t="str">
        <v>未明确</v>
      </c>
      <c r="J99" s="7" t="str">
        <v>未明确</v>
      </c>
      <c r="K99" s="7" t="str">
        <v>未明确</v>
      </c>
      <c r="L99" s="7" t="str">
        <v>按原剧/镜头补充；不因临时生成而省略需求登记</v>
      </c>
      <c r="M99" s="7" t="str">
        <v>用户精简清单 T7R008</v>
      </c>
      <c r="N99" s="7" t="str">
        <v>雨伞、鲜花；第31—32集；墓地场景中随人物一起生成</v>
      </c>
      <c r="O99" s="7" t="str">
        <v>原文明示</v>
      </c>
      <c r="P99" s="7" t="str">
        <v>不适用</v>
      </c>
      <c r="Q99" s="7" t="str">
        <v>需原剧分场复核，清单不能证明完整性</v>
      </c>
      <c r="R99" s="7" t="str"/>
      <c r="S99" s="7" t="str"/>
      <c r="T99" s="7" t="str">
        <v>有效</v>
      </c>
      <c r="U99" s="7" t="str"/>
    </row>
    <row r="100" ht="48" customHeight="1">
      <c r="A100" s="7" t="str">
        <v>USE-0096</v>
      </c>
      <c r="B100" s="7" t="str">
        <v>未提供分场｜第31—32集</v>
      </c>
      <c r="C100" s="8" t="n">
        <v>96</v>
      </c>
      <c r="D100" s="9" t="str">
        <v>PRP-0028</v>
      </c>
      <c r="E100" s="7" t="str"/>
      <c r="F100" s="7" t="str"/>
      <c r="G100" s="7" t="str">
        <v>待确认</v>
      </c>
      <c r="H100" s="7" t="str">
        <v>未明确</v>
      </c>
      <c r="I100" s="7" t="str">
        <v>未明确</v>
      </c>
      <c r="J100" s="7" t="str">
        <v>未明确</v>
      </c>
      <c r="K100" s="7" t="str">
        <v>未明确</v>
      </c>
      <c r="L100" s="7" t="str">
        <v>按原剧/镜头补充；不因临时生成而省略需求登记</v>
      </c>
      <c r="M100" s="7" t="str">
        <v>用户精简清单 T7R008</v>
      </c>
      <c r="N100" s="7" t="str">
        <v>雨伞、鲜花；第31—32集；墓地场景中随人物一起生成</v>
      </c>
      <c r="O100" s="7" t="str">
        <v>原文明示</v>
      </c>
      <c r="P100" s="7" t="str">
        <v>不适用</v>
      </c>
      <c r="Q100" s="7" t="str">
        <v>需原剧分场复核，清单不能证明完整性</v>
      </c>
      <c r="R100" s="7" t="str"/>
      <c r="S100" s="7" t="str"/>
      <c r="T100" s="7" t="str">
        <v>有效</v>
      </c>
      <c r="U100" s="7" t="str"/>
    </row>
    <row r="101" ht="55" customHeight="1">
      <c r="A101" s="7" t="str">
        <v>USE-0097</v>
      </c>
      <c r="B101" s="7" t="str">
        <v>未提供分场｜多集，未逐条列明</v>
      </c>
      <c r="C101" s="8" t="n">
        <v>97</v>
      </c>
      <c r="D101" s="9" t="str">
        <v>PRP-0029</v>
      </c>
      <c r="E101" s="7" t="str"/>
      <c r="F101" s="7" t="str"/>
      <c r="G101" s="7" t="str">
        <v>待确认</v>
      </c>
      <c r="H101" s="7" t="str">
        <v>未明确</v>
      </c>
      <c r="I101" s="7" t="str">
        <v>未明确</v>
      </c>
      <c r="J101" s="7" t="str">
        <v>未明确</v>
      </c>
      <c r="K101" s="7" t="str">
        <v>未明确</v>
      </c>
      <c r="L101" s="7" t="str">
        <v>按原剧/镜头补充；不因临时生成而省略需求登记</v>
      </c>
      <c r="M101" s="7" t="str">
        <v>用户精简清单 T7R009</v>
      </c>
      <c r="N101" s="7" t="str">
        <v>普通手机及数据线；多集；数据线第14集；手机外壳可随人物；屏幕消息另列核心屏幕资产</v>
      </c>
      <c r="O101" s="7" t="str">
        <v>原文明示</v>
      </c>
      <c r="P101" s="7" t="str">
        <v>不适用</v>
      </c>
      <c r="Q101" s="7" t="str">
        <v>需原剧分场复核，清单不能证明完整性</v>
      </c>
      <c r="R101" s="7" t="str"/>
      <c r="S101" s="7" t="str"/>
      <c r="T101" s="7" t="str">
        <v>有效</v>
      </c>
      <c r="U101" s="7" t="str"/>
    </row>
    <row r="102" ht="55" customHeight="1">
      <c r="A102" s="7" t="str">
        <v>USE-0098</v>
      </c>
      <c r="B102" s="7" t="str">
        <v>未提供分场｜第14集</v>
      </c>
      <c r="C102" s="8" t="n">
        <v>98</v>
      </c>
      <c r="D102" s="9" t="str">
        <v>PRP-0030</v>
      </c>
      <c r="E102" s="7" t="str"/>
      <c r="F102" s="7" t="str"/>
      <c r="G102" s="7" t="str">
        <v>待确认</v>
      </c>
      <c r="H102" s="7" t="str">
        <v>未明确</v>
      </c>
      <c r="I102" s="7" t="str">
        <v>未明确</v>
      </c>
      <c r="J102" s="7" t="str">
        <v>未明确</v>
      </c>
      <c r="K102" s="7" t="str">
        <v>未明确</v>
      </c>
      <c r="L102" s="7" t="str">
        <v>按原剧/镜头补充；不因临时生成而省略需求登记</v>
      </c>
      <c r="M102" s="7" t="str">
        <v>用户精简清单 T7R009</v>
      </c>
      <c r="N102" s="7" t="str">
        <v>普通手机及数据线；多集；数据线第14集；手机外壳可随人物；屏幕消息另列核心屏幕资产</v>
      </c>
      <c r="O102" s="7" t="str">
        <v>原文明示</v>
      </c>
      <c r="P102" s="7" t="str">
        <v>不适用</v>
      </c>
      <c r="Q102" s="7" t="str">
        <v>需原剧分场复核，清单不能证明完整性</v>
      </c>
      <c r="R102" s="7" t="str"/>
      <c r="S102" s="7" t="str"/>
      <c r="T102" s="7" t="str">
        <v>有效</v>
      </c>
      <c r="U102" s="7" t="str"/>
    </row>
    <row r="103" ht="48" customHeight="1">
      <c r="A103" s="7" t="str">
        <v>USE-0099</v>
      </c>
      <c r="B103" s="7" t="str">
        <v>未提供分场｜第1集起</v>
      </c>
      <c r="C103" s="8" t="n">
        <v>99</v>
      </c>
      <c r="D103" s="9" t="str">
        <v>PRP-0031</v>
      </c>
      <c r="E103" s="7" t="str"/>
      <c r="F103" s="7" t="str"/>
      <c r="G103" s="7" t="str">
        <v>待确认</v>
      </c>
      <c r="H103" s="7" t="str">
        <v>未明确</v>
      </c>
      <c r="I103" s="7" t="str">
        <v>未明确</v>
      </c>
      <c r="J103" s="7" t="str">
        <v>未明确</v>
      </c>
      <c r="K103" s="7" t="str">
        <v>未明确</v>
      </c>
      <c r="L103" s="7" t="str">
        <v>按原剧/镜头补充；不因临时生成而省略需求登记</v>
      </c>
      <c r="M103" s="7" t="str">
        <v>用户精简清单 T7R010</v>
      </c>
      <c r="N103" s="7" t="str">
        <v>通讯耳机；第1集起；绑定江辰孤狼人物造型</v>
      </c>
      <c r="O103" s="7" t="str">
        <v>原文明示</v>
      </c>
      <c r="P103" s="7" t="str">
        <v>不适用</v>
      </c>
      <c r="Q103" s="7" t="str">
        <v>需原剧分场复核，清单不能证明完整性</v>
      </c>
      <c r="R103" s="7" t="str"/>
      <c r="S103" s="7" t="str"/>
      <c r="T103" s="7" t="str">
        <v>有效</v>
      </c>
      <c r="U103" s="7" t="str"/>
    </row>
    <row r="104" ht="55" customHeight="1">
      <c r="A104" s="7" t="str">
        <v>USE-0100</v>
      </c>
      <c r="B104" s="7" t="str">
        <v>未提供分场｜第4集起多次</v>
      </c>
      <c r="C104" s="8" t="n">
        <v>100</v>
      </c>
      <c r="D104" s="9" t="str">
        <v>PRP-0032</v>
      </c>
      <c r="E104" s="7" t="str"/>
      <c r="F104" s="7" t="str"/>
      <c r="G104" s="7" t="str">
        <v>待确认</v>
      </c>
      <c r="H104" s="7" t="str">
        <v>未明确</v>
      </c>
      <c r="I104" s="7" t="str">
        <v>未明确</v>
      </c>
      <c r="J104" s="7" t="str">
        <v>未明确</v>
      </c>
      <c r="K104" s="7" t="str">
        <v>未明确</v>
      </c>
      <c r="L104" s="7" t="str">
        <v>按原剧/镜头补充；不因临时生成而省略需求登记</v>
      </c>
      <c r="M104" s="7" t="str">
        <v>用户精简清单 T7R012</v>
      </c>
      <c r="N104" s="7" t="str">
        <v>硬币、石子；第4集起多次；不为每颗建立独立道具；统一弹射、命中、飞行的动作与特效</v>
      </c>
      <c r="O104" s="7" t="str">
        <v>原文明示</v>
      </c>
      <c r="P104" s="7" t="str">
        <v>不适用</v>
      </c>
      <c r="Q104" s="7" t="str">
        <v>需原剧分场复核，清单不能证明完整性</v>
      </c>
      <c r="R104" s="7" t="str"/>
      <c r="S104" s="7" t="str"/>
      <c r="T104" s="7" t="str">
        <v>有效</v>
      </c>
      <c r="U104" s="7" t="str"/>
    </row>
    <row r="105" ht="55" customHeight="1">
      <c r="A105" s="7" t="str">
        <v>USE-0101</v>
      </c>
      <c r="B105" s="7" t="str">
        <v>未提供分场｜第4集起多次</v>
      </c>
      <c r="C105" s="8" t="n">
        <v>101</v>
      </c>
      <c r="D105" s="9" t="str">
        <v>PRP-0033</v>
      </c>
      <c r="E105" s="7" t="str"/>
      <c r="F105" s="7" t="str"/>
      <c r="G105" s="7" t="str">
        <v>待确认</v>
      </c>
      <c r="H105" s="7" t="str">
        <v>未明确</v>
      </c>
      <c r="I105" s="7" t="str">
        <v>未明确</v>
      </c>
      <c r="J105" s="7" t="str">
        <v>未明确</v>
      </c>
      <c r="K105" s="7" t="str">
        <v>未明确</v>
      </c>
      <c r="L105" s="7" t="str">
        <v>按原剧/镜头补充；不因临时生成而省略需求登记</v>
      </c>
      <c r="M105" s="7" t="str">
        <v>用户精简清单 T7R012</v>
      </c>
      <c r="N105" s="7" t="str">
        <v>硬币、石子；第4集起多次；不为每颗建立独立道具；统一弹射、命中、飞行的动作与特效</v>
      </c>
      <c r="O105" s="7" t="str">
        <v>原文明示</v>
      </c>
      <c r="P105" s="7" t="str">
        <v>不适用</v>
      </c>
      <c r="Q105" s="7" t="str">
        <v>需原剧分场复核，清单不能证明完整性</v>
      </c>
      <c r="R105" s="7" t="str"/>
      <c r="S105" s="7" t="str"/>
      <c r="T105" s="7" t="str">
        <v>有效</v>
      </c>
      <c r="U105" s="7" t="str"/>
    </row>
    <row r="106" ht="55" customHeight="1">
      <c r="A106" s="7" t="str">
        <v>USE-0102</v>
      </c>
      <c r="B106" s="7" t="str">
        <v>未提供分场｜多集</v>
      </c>
      <c r="C106" s="8" t="n">
        <v>102</v>
      </c>
      <c r="D106" s="9" t="str">
        <v>PRP-0034</v>
      </c>
      <c r="E106" s="7" t="str"/>
      <c r="F106" s="7" t="str"/>
      <c r="G106" s="7" t="str">
        <v>待确认</v>
      </c>
      <c r="H106" s="7" t="str">
        <v>未明确</v>
      </c>
      <c r="I106" s="7" t="str">
        <v>未明确</v>
      </c>
      <c r="J106" s="7" t="str">
        <v>未明确</v>
      </c>
      <c r="K106" s="7" t="str">
        <v>未明确</v>
      </c>
      <c r="L106" s="7" t="str">
        <v>按原剧/镜头补充；不因临时生成而省略需求登记</v>
      </c>
      <c r="M106" s="7" t="str">
        <v>用户精简清单 T7R013</v>
      </c>
      <c r="N106" s="7" t="str">
        <v>普通工作文件、书稿；多集；在相关工作场景随镜头生成，若需准确文字则后期贴图</v>
      </c>
      <c r="O106" s="7" t="str">
        <v>原文明示</v>
      </c>
      <c r="P106" s="7" t="str">
        <v>不适用</v>
      </c>
      <c r="Q106" s="7" t="str">
        <v>需原剧分场复核，清单不能证明完整性</v>
      </c>
      <c r="R106" s="7" t="str"/>
      <c r="S106" s="7" t="str"/>
      <c r="T106" s="7" t="str">
        <v>有效</v>
      </c>
      <c r="U106" s="7" t="str"/>
    </row>
    <row r="107" ht="55" customHeight="1">
      <c r="A107" s="7" t="str">
        <v>USE-0103</v>
      </c>
      <c r="B107" s="7" t="str">
        <v>未提供分场｜多集</v>
      </c>
      <c r="C107" s="8" t="n">
        <v>103</v>
      </c>
      <c r="D107" s="9" t="str">
        <v>PRP-0035</v>
      </c>
      <c r="E107" s="7" t="str"/>
      <c r="F107" s="7" t="str"/>
      <c r="G107" s="7" t="str">
        <v>待确认</v>
      </c>
      <c r="H107" s="7" t="str">
        <v>未明确</v>
      </c>
      <c r="I107" s="7" t="str">
        <v>未明确</v>
      </c>
      <c r="J107" s="7" t="str">
        <v>未明确</v>
      </c>
      <c r="K107" s="7" t="str">
        <v>未明确</v>
      </c>
      <c r="L107" s="7" t="str">
        <v>按原剧/镜头补充；不因临时生成而省略需求登记</v>
      </c>
      <c r="M107" s="7" t="str">
        <v>用户精简清单 T7R013</v>
      </c>
      <c r="N107" s="7" t="str">
        <v>普通工作文件、书稿；多集；在相关工作场景随镜头生成，若需准确文字则后期贴图</v>
      </c>
      <c r="O107" s="7" t="str">
        <v>原文明示</v>
      </c>
      <c r="P107" s="7" t="str">
        <v>不适用</v>
      </c>
      <c r="Q107" s="7" t="str">
        <v>需原剧分场复核，清单不能证明完整性</v>
      </c>
      <c r="R107" s="7" t="str"/>
      <c r="S107" s="7" t="str"/>
      <c r="T107" s="7" t="str">
        <v>有效</v>
      </c>
      <c r="U107" s="7" t="str"/>
    </row>
    <row r="108" ht="70" customHeight="1">
      <c r="A108" s="7" t="str">
        <v>USE-0104</v>
      </c>
      <c r="B108" s="7" t="str">
        <v>未提供分场｜第2—3集</v>
      </c>
      <c r="C108" s="8" t="n">
        <v>104</v>
      </c>
      <c r="D108" s="9" t="str">
        <v>PRP-0036</v>
      </c>
      <c r="E108" s="7" t="str"/>
      <c r="F108" s="7" t="str"/>
      <c r="G108" s="7" t="str">
        <v>待确认</v>
      </c>
      <c r="H108" s="7" t="str">
        <v>未明确</v>
      </c>
      <c r="I108" s="7" t="str">
        <v>未明确</v>
      </c>
      <c r="J108" s="7" t="str">
        <v>未明确</v>
      </c>
      <c r="K108" s="7" t="str">
        <v>未明确</v>
      </c>
      <c r="L108" s="7" t="str">
        <v>按原剧/镜头补充；不因临时生成而省略需求登记</v>
      </c>
      <c r="M108" s="7" t="str">
        <v>用户精简清单 T10R003</v>
      </c>
      <c r="N108" s="7" t="str">
        <v>第2—3集 咖啡馆；卡座、沙发、咖啡杯、门外立面；P11测谎仪；“寻找路人英雄”广告牌按镜头提供准确文案</v>
      </c>
      <c r="O108" s="7" t="str">
        <v>原文明示</v>
      </c>
      <c r="P108" s="7" t="str">
        <v>不适用</v>
      </c>
      <c r="Q108" s="7" t="str">
        <v>需原剧分场复核，清单不能证明完整性</v>
      </c>
      <c r="R108" s="7" t="str"/>
      <c r="S108" s="7" t="str"/>
      <c r="T108" s="7" t="str">
        <v>有效</v>
      </c>
      <c r="U108" s="7" t="str"/>
    </row>
    <row r="109" ht="55" customHeight="1">
      <c r="A109" s="7" t="str">
        <v>USE-0105</v>
      </c>
      <c r="B109" s="7" t="str">
        <v>未提供分场｜第1集</v>
      </c>
      <c r="C109" s="8" t="n">
        <v>105</v>
      </c>
      <c r="D109" s="9" t="str">
        <v>PRP-0037</v>
      </c>
      <c r="E109" s="7" t="str"/>
      <c r="F109" s="7" t="str"/>
      <c r="G109" s="7" t="str">
        <v>待确认</v>
      </c>
      <c r="H109" s="7" t="str">
        <v>未明确</v>
      </c>
      <c r="I109" s="7" t="str">
        <v>未明确</v>
      </c>
      <c r="J109" s="7" t="str">
        <v>未明确</v>
      </c>
      <c r="K109" s="7" t="str">
        <v>未明确</v>
      </c>
      <c r="L109" s="7" t="str">
        <v>按原剧/镜头补充；不因临时生成而省略需求登记</v>
      </c>
      <c r="M109" s="7" t="str">
        <v>用户精简清单 T6R002</v>
      </c>
      <c r="N109" s="7" t="str">
        <v>国外基地；烧烤架、桌椅、食物、酒瓶、绑架柱、杂物；绳索若进入挣扎/解救特写，随镜头锁定</v>
      </c>
      <c r="O109" s="7" t="str">
        <v>原文明示</v>
      </c>
      <c r="P109" s="7" t="str">
        <v>不适用</v>
      </c>
      <c r="Q109" s="7" t="str">
        <v>需原剧分场复核，清单不能证明完整性</v>
      </c>
      <c r="R109" s="7" t="str"/>
      <c r="S109" s="7" t="str"/>
      <c r="T109" s="7" t="str">
        <v>有效</v>
      </c>
      <c r="U109" s="7" t="str"/>
    </row>
  </sheetData>
  <conditionalFormatting sqref="P5:P209">
    <cfRule type="containsText" dxfId="10" priority="1" operator="containsText" text="待确认"/>
  </conditionalFormatting>
  <conditionalFormatting sqref="Q5:Q209">
    <cfRule type="expression" dxfId="11" priority="2">
      <formula>AND(Q5&lt;&gt;"",Q5&lt;&gt;"无新增缺口")</formula>
    </cfRule>
  </conditionalFormatting>
  <dataValidations count="4">
    <dataValidation type="list" sqref="G5:G209">
      <formula1>"入画,声音,提及,待确认"</formula1>
    </dataValidation>
    <dataValidation type="list" sqref="O5:O209">
      <formula1>"原文明示,合理推断,设计候选"</formula1>
    </dataValidation>
    <dataValidation type="list" sqref="P5:P209">
      <formula1>"待确认,已确认,不适用"</formula1>
    </dataValidation>
    <dataValidation type="list" sqref="T5:T209">
      <formula1>"有效,已合并,已停用"</formula1>
    </dataValidation>
  </dataValidations>
  <hyperlinks>
    <hyperlink ref="C2" location="'使用说明与总览'!A1"/>
    <hyperlink ref="D5" location="asset_CHR_0001"/>
    <hyperlink ref="E5" location="asset_CHV_0001"/>
    <hyperlink ref="D6" location="asset_CHR_0002"/>
    <hyperlink ref="E6" location="asset_CHV_0002"/>
    <hyperlink ref="D7" location="asset_CHR_0003"/>
    <hyperlink ref="E7" location="asset_CHV_0003"/>
    <hyperlink ref="D8" location="asset_CHR_0004"/>
    <hyperlink ref="E8" location="asset_CHV_0004"/>
    <hyperlink ref="D9" location="asset_CHR_0005"/>
    <hyperlink ref="E9" location="asset_CHV_0005"/>
    <hyperlink ref="D10" location="asset_CHR_0006"/>
    <hyperlink ref="E10" location="asset_CHV_0006"/>
    <hyperlink ref="D11" location="asset_CHR_0007"/>
    <hyperlink ref="E11" location="asset_CHV_0007"/>
    <hyperlink ref="D12" location="asset_CHR_0008"/>
    <hyperlink ref="E12" location="asset_CHV_0008"/>
    <hyperlink ref="D13" location="asset_CHR_0009"/>
    <hyperlink ref="D14" location="asset_CHR_0010"/>
    <hyperlink ref="D15" location="asset_CHR_0011"/>
    <hyperlink ref="E15" location="asset_CHV_0009"/>
    <hyperlink ref="D16" location="asset_CHR_0012"/>
    <hyperlink ref="E16" location="asset_CHV_0010"/>
    <hyperlink ref="D17" location="asset_CHR_0013"/>
    <hyperlink ref="E17" location="asset_CHV_0011"/>
    <hyperlink ref="D18" location="asset_CHR_0014"/>
    <hyperlink ref="E18" location="asset_CHV_0012"/>
    <hyperlink ref="D19" location="asset_CHR_0015"/>
    <hyperlink ref="E19" location="asset_CHV_0013"/>
    <hyperlink ref="D20" location="asset_CHR_0016"/>
    <hyperlink ref="E20" location="asset_CHV_0014"/>
    <hyperlink ref="D21" location="asset_CHR_0017"/>
    <hyperlink ref="E21" location="asset_CHV_0015"/>
    <hyperlink ref="D22" location="asset_CHR_0018"/>
    <hyperlink ref="E22" location="asset_CHV_0016"/>
    <hyperlink ref="D23" location="asset_CHR_0019"/>
    <hyperlink ref="E23" location="asset_CHV_0017"/>
    <hyperlink ref="D24" location="asset_CHR_0020"/>
    <hyperlink ref="E24" location="asset_CHV_0018"/>
    <hyperlink ref="D25" location="asset_CHR_0001"/>
    <hyperlink ref="E25" location="asset_CHV_0019"/>
    <hyperlink ref="D26" location="asset_CHR_0001"/>
    <hyperlink ref="E26" location="asset_CHV_0020"/>
    <hyperlink ref="D27" location="asset_CHR_0003"/>
    <hyperlink ref="E27" location="asset_CHV_0021"/>
    <hyperlink ref="D28" location="asset_CHR_0002"/>
    <hyperlink ref="E28" location="asset_CHV_0022"/>
    <hyperlink ref="D29" location="asset_LOC_0001"/>
    <hyperlink ref="E29" location="asset_LCV_0001"/>
    <hyperlink ref="D30" location="asset_LOC_0002"/>
    <hyperlink ref="E30" location="asset_LCV_0002"/>
    <hyperlink ref="D31" location="asset_LOC_0003"/>
    <hyperlink ref="E31" location="asset_LCV_0003"/>
    <hyperlink ref="D32" location="asset_LOC_0004"/>
    <hyperlink ref="E32" location="asset_LCV_0004"/>
    <hyperlink ref="D33" location="asset_LOC_0005"/>
    <hyperlink ref="E33" location="asset_LCV_0005"/>
    <hyperlink ref="D34" location="asset_LOC_0006"/>
    <hyperlink ref="E34" location="asset_LCV_0006"/>
    <hyperlink ref="D35" location="asset_LOC_0007"/>
    <hyperlink ref="E35" location="asset_LCV_0007"/>
    <hyperlink ref="D36" location="asset_LOC_0008"/>
    <hyperlink ref="E36" location="asset_LCV_0008"/>
    <hyperlink ref="D37" location="asset_LOC_0009"/>
    <hyperlink ref="E37" location="asset_LCV_0009"/>
    <hyperlink ref="D38" location="asset_LOC_0010"/>
    <hyperlink ref="E38" location="asset_LCV_0010"/>
    <hyperlink ref="D39" location="asset_LOC_0011"/>
    <hyperlink ref="E39" location="asset_LCV_0011"/>
    <hyperlink ref="D40" location="asset_LOC_0012"/>
    <hyperlink ref="E40" location="asset_LCV_0012"/>
    <hyperlink ref="D41" location="asset_LOC_0013"/>
    <hyperlink ref="E41" location="asset_LCV_0013"/>
    <hyperlink ref="D42" location="asset_LOC_0014"/>
    <hyperlink ref="E42" location="asset_LCV_0014"/>
    <hyperlink ref="D43" location="asset_LOC_0015"/>
    <hyperlink ref="E43" location="asset_LCV_0015"/>
    <hyperlink ref="D44" location="asset_LOC_0016"/>
    <hyperlink ref="E44" location="asset_LCV_0016"/>
    <hyperlink ref="D45" location="asset_LOC_0017"/>
    <hyperlink ref="E45" location="asset_LCV_0017"/>
    <hyperlink ref="D46" location="asset_LOC_0018"/>
    <hyperlink ref="E46" location="asset_LCV_0018"/>
    <hyperlink ref="D47" location="asset_LOC_0019"/>
    <hyperlink ref="E47" location="asset_LCV_0019"/>
    <hyperlink ref="D48" location="asset_LOC_0020"/>
    <hyperlink ref="E48" location="asset_LCV_0020"/>
    <hyperlink ref="D49" location="asset_LOC_0021"/>
    <hyperlink ref="E49" location="asset_LCV_0021"/>
    <hyperlink ref="D50" location="asset_LOC_0022"/>
    <hyperlink ref="E50" location="asset_LCV_0022"/>
    <hyperlink ref="D51" location="asset_LOC_0023"/>
    <hyperlink ref="E51" location="asset_LCV_0023"/>
    <hyperlink ref="D52" location="asset_LOC_0024"/>
    <hyperlink ref="E52" location="asset_LCV_0024"/>
    <hyperlink ref="D53" location="asset_LOC_0025"/>
    <hyperlink ref="E53" location="asset_LCV_0025"/>
    <hyperlink ref="D54" location="asset_LOC_0026"/>
    <hyperlink ref="E54" location="asset_LCV_0026"/>
    <hyperlink ref="D55" location="asset_LOC_0027"/>
    <hyperlink ref="E55" location="asset_LCV_0027"/>
    <hyperlink ref="D56" location="asset_LOC_0028"/>
    <hyperlink ref="E56" location="asset_LCV_0028"/>
    <hyperlink ref="D57" location="asset_LOC_0029"/>
    <hyperlink ref="E57" location="asset_LCV_0029"/>
    <hyperlink ref="D58" location="asset_LOC_0030"/>
    <hyperlink ref="E58" location="asset_LCV_0030"/>
    <hyperlink ref="D59" location="asset_LOC_0031"/>
    <hyperlink ref="E59" location="asset_LCV_0031"/>
    <hyperlink ref="D60" location="asset_LOC_0032"/>
    <hyperlink ref="E60" location="asset_LCV_0032"/>
    <hyperlink ref="D61" location="asset_LOC_0033"/>
    <hyperlink ref="E61" location="asset_LCV_0033"/>
    <hyperlink ref="D62" location="asset_LOC_0034"/>
    <hyperlink ref="E62" location="asset_LCV_0034"/>
    <hyperlink ref="D63" location="asset_LOC_0035"/>
    <hyperlink ref="E63" location="asset_LCV_0035"/>
    <hyperlink ref="D64" location="asset_LOC_0036"/>
    <hyperlink ref="E64" location="asset_LCV_0036"/>
    <hyperlink ref="D65" location="asset_LOC_0037"/>
    <hyperlink ref="E65" location="asset_LCV_0037"/>
    <hyperlink ref="D66" location="asset_LOC_0008"/>
    <hyperlink ref="E66" location="asset_LCV_0038"/>
    <hyperlink ref="D67" location="asset_LOC_0008"/>
    <hyperlink ref="E67" location="asset_LCV_0039"/>
    <hyperlink ref="D68" location="asset_LOC_0008"/>
    <hyperlink ref="E68" location="asset_LCV_0040"/>
    <hyperlink ref="D69" location="asset_LOC_0036"/>
    <hyperlink ref="E69" location="asset_LCV_0041"/>
    <hyperlink ref="D70" location="asset_LOC_0030"/>
    <hyperlink ref="E70" location="asset_LCV_0042"/>
    <hyperlink ref="D71" location="asset_LOC_0017"/>
    <hyperlink ref="E71" location="asset_LCV_0043"/>
    <hyperlink ref="D72" location="asset_LOC_0020"/>
    <hyperlink ref="E72" location="asset_LCV_0044"/>
    <hyperlink ref="D73" location="asset_PRP_0001"/>
    <hyperlink ref="D74" location="asset_PRP_0002"/>
    <hyperlink ref="D75" location="asset_PRP_0003"/>
    <hyperlink ref="D76" location="asset_PRP_0004"/>
    <hyperlink ref="D77" location="asset_PRP_0005"/>
    <hyperlink ref="D78" location="asset_PRP_0006"/>
    <hyperlink ref="D79" location="asset_PRP_0007"/>
    <hyperlink ref="D80" location="asset_PRP_0008"/>
    <hyperlink ref="D81" location="asset_PRP_0009"/>
    <hyperlink ref="D82" location="asset_PRP_0010"/>
    <hyperlink ref="D83" location="asset_PRP_0011"/>
    <hyperlink ref="D84" location="asset_PRP_0012"/>
    <hyperlink ref="D85" location="asset_PRP_0013"/>
    <hyperlink ref="D86" location="asset_PRP_0014"/>
    <hyperlink ref="D87" location="asset_PRP_0015"/>
    <hyperlink ref="D88" location="asset_PRP_0016"/>
    <hyperlink ref="D89" location="asset_PRP_0017"/>
    <hyperlink ref="D90" location="asset_PRP_0018"/>
    <hyperlink ref="D91" location="asset_PRP_0019"/>
    <hyperlink ref="D92" location="asset_PRP_0020"/>
    <hyperlink ref="D93" location="asset_PRP_0021"/>
    <hyperlink ref="D94" location="asset_PRP_0022"/>
    <hyperlink ref="D95" location="asset_PRP_0023"/>
    <hyperlink ref="D96" location="asset_PRP_0024"/>
    <hyperlink ref="D97" location="asset_PRP_0025"/>
    <hyperlink ref="D98" location="asset_PRP_0026"/>
    <hyperlink ref="D99" location="asset_PRP_0027"/>
    <hyperlink ref="D100" location="asset_PRP_0028"/>
    <hyperlink ref="D101" location="asset_PRP_0029"/>
    <hyperlink ref="D102" location="asset_PRP_0030"/>
    <hyperlink ref="D103" location="asset_PRP_0031"/>
    <hyperlink ref="D104" location="asset_PRP_0032"/>
    <hyperlink ref="D105" location="asset_PRP_0033"/>
    <hyperlink ref="D106" location="asset_PRP_0034"/>
    <hyperlink ref="D107" location="asset_PRP_0035"/>
    <hyperlink ref="D108" location="asset_PRP_0036"/>
    <hyperlink ref="D109" location="asset_PRP_0037"/>
  </hyperlinks>
  <pageMargins left="0.7" right="0.7" top="0.75" bottom="0.75" header="0.3" footer="0.3"/>
  <tableParts count="1">
    <tablePart r:id="Rbe91393e5310484c"/>
  </tableParts>
</worksheet>
</file>